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19" documentId="13_ncr:1_{1AAECD56-908A-48F9-BE0A-50755609D207}" xr6:coauthVersionLast="47" xr6:coauthVersionMax="47" xr10:uidLastSave="{B31E1C93-DD1F-4F7F-B451-92230FAD8BAE}"/>
  <bookViews>
    <workbookView xWindow="-110" yWindow="-110" windowWidth="25820" windowHeight="15500" firstSheet="1" activeTab="1" xr2:uid="{00000000-000D-0000-FFFF-FFFF00000000}"/>
  </bookViews>
  <sheets>
    <sheet name="HD" sheetId="1" r:id="rId1"/>
    <sheet name="Mẫu" sheetId="2" r:id="rId2"/>
    <sheet name="Data" sheetId="6" state="hidden" r:id="rId3"/>
    <sheet name="©" sheetId="7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EozuTl7OuFy/WQ4q5/LLlqbtEOQgYtRoGYYCE3buTq8="/>
    </ext>
  </extLst>
</workbook>
</file>

<file path=xl/calcChain.xml><?xml version="1.0" encoding="utf-8"?>
<calcChain xmlns="http://schemas.openxmlformats.org/spreadsheetml/2006/main">
  <c r="E7" i="2" l="1"/>
  <c r="F11" i="2" s="1"/>
  <c r="G11" i="2" s="1"/>
  <c r="A13" i="2"/>
  <c r="D13" i="2"/>
  <c r="AQ23" i="2"/>
  <c r="AQ22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AR20" i="2"/>
  <c r="AQ20" i="2"/>
  <c r="AR19" i="2"/>
  <c r="AQ19" i="2"/>
  <c r="AR18" i="2"/>
  <c r="AQ18" i="2"/>
  <c r="AR17" i="2"/>
  <c r="AQ17" i="2"/>
  <c r="AR16" i="2"/>
  <c r="AQ16" i="2"/>
  <c r="AR15" i="2"/>
  <c r="AQ15" i="2"/>
  <c r="AR14" i="2"/>
  <c r="AQ14" i="2"/>
  <c r="AR13" i="2"/>
  <c r="AQ13" i="2"/>
  <c r="E8" i="2"/>
  <c r="H11" i="2" l="1"/>
  <c r="G12" i="2"/>
  <c r="G10" i="2"/>
  <c r="AQ21" i="2"/>
  <c r="AR21" i="2"/>
  <c r="H12" i="2"/>
  <c r="I11" i="2" l="1"/>
  <c r="J11" i="2" s="1"/>
  <c r="H10" i="2"/>
  <c r="I10" i="2" l="1"/>
  <c r="I12" i="2"/>
  <c r="J10" i="2"/>
  <c r="K11" i="2"/>
  <c r="K10" i="2" s="1"/>
  <c r="J12" i="2"/>
  <c r="K12" i="2" l="1"/>
  <c r="L11" i="2"/>
  <c r="M11" i="2" l="1"/>
  <c r="M10" i="2" s="1"/>
  <c r="L12" i="2"/>
  <c r="L10" i="2"/>
  <c r="M12" i="2" l="1"/>
  <c r="N11" i="2"/>
  <c r="N10" i="2"/>
  <c r="O11" i="2" l="1"/>
  <c r="N12" i="2"/>
  <c r="P11" i="2" l="1"/>
  <c r="P10" i="2" s="1"/>
  <c r="O12" i="2"/>
  <c r="Q11" i="2" l="1"/>
  <c r="Q10" i="2" s="1"/>
  <c r="P12" i="2"/>
  <c r="R11" i="2" l="1"/>
  <c r="Q12" i="2"/>
  <c r="R10" i="2"/>
  <c r="R12" i="2" l="1"/>
  <c r="S11" i="2"/>
  <c r="S12" i="2" l="1"/>
  <c r="T11" i="2"/>
  <c r="S10" i="2"/>
  <c r="T12" i="2" l="1"/>
  <c r="U11" i="2"/>
  <c r="T10" i="2"/>
  <c r="V11" i="2" l="1"/>
  <c r="U12" i="2"/>
  <c r="U10" i="2"/>
  <c r="W11" i="2" l="1"/>
  <c r="V12" i="2"/>
  <c r="W10" i="2"/>
  <c r="V10" i="2"/>
  <c r="W12" i="2" l="1"/>
  <c r="X11" i="2"/>
  <c r="Y11" i="2" l="1"/>
  <c r="Y10" i="2" s="1"/>
  <c r="X12" i="2"/>
  <c r="X10" i="2"/>
  <c r="Y12" i="2" l="1"/>
  <c r="Z11" i="2"/>
  <c r="AA11" i="2" l="1"/>
  <c r="Z12" i="2"/>
  <c r="Z10" i="2"/>
  <c r="AA12" i="2" l="1"/>
  <c r="AB11" i="2"/>
  <c r="AB10" i="2" s="1"/>
  <c r="AA10" i="2"/>
  <c r="AC11" i="2" l="1"/>
  <c r="AC10" i="2"/>
  <c r="AB12" i="2"/>
  <c r="AD11" i="2" l="1"/>
  <c r="AC12" i="2"/>
  <c r="AD10" i="2"/>
  <c r="AD12" i="2" l="1"/>
  <c r="AE11" i="2"/>
  <c r="AE10" i="2" s="1"/>
  <c r="AF11" i="2" l="1"/>
  <c r="AE12" i="2"/>
  <c r="AG11" i="2" l="1"/>
  <c r="AG10" i="2" s="1"/>
  <c r="AF12" i="2"/>
  <c r="AF10" i="2"/>
  <c r="AH11" i="2" l="1"/>
  <c r="AH10" i="2"/>
  <c r="AG12" i="2"/>
  <c r="AI11" i="2" l="1"/>
  <c r="AH12" i="2"/>
  <c r="AI10" i="2"/>
  <c r="AI12" i="2" l="1"/>
  <c r="AJ11" i="2"/>
  <c r="AK11" i="2" l="1"/>
  <c r="AK10" i="2" s="1"/>
  <c r="AJ12" i="2"/>
  <c r="AJ10" i="2"/>
  <c r="AK12" i="2" l="1"/>
  <c r="AL11" i="2"/>
  <c r="AM11" i="2" l="1"/>
  <c r="AL12" i="2"/>
  <c r="AL10" i="2"/>
  <c r="AM12" i="2" l="1"/>
  <c r="AN11" i="2"/>
  <c r="AM10" i="2"/>
  <c r="AO11" i="2" l="1"/>
  <c r="AN12" i="2"/>
  <c r="AO10" i="2"/>
  <c r="AN10" i="2"/>
  <c r="AP11" i="2" l="1"/>
  <c r="AP12" i="2" s="1"/>
  <c r="AO12" i="2"/>
  <c r="AP10" i="2"/>
</calcChain>
</file>

<file path=xl/sharedStrings.xml><?xml version="1.0" encoding="utf-8"?>
<sst xmlns="http://schemas.openxmlformats.org/spreadsheetml/2006/main" count="189" uniqueCount="175">
  <si>
    <t>Hướng dẫn khai timesheet hàng tháng đối với thực tập, học việc</t>
  </si>
  <si>
    <t>Nhân viên makecopy file này và khai thông tin vào ngày cuối tháng từ ngày 01-03 của tháng tiếp theo hoặc theo thông báo</t>
  </si>
  <si>
    <t xml:space="preserve">Mỗi tháng makecopy sheet "Mẫu", khóa sheet tháng cũ, lưu ý ko điền dữ liệu đề lên dữ liệu tháng cũ và đổi tên sheet thành "T+ tháng khai timesheet.năm hiện tại" </t>
  </si>
  <si>
    <t>Ví dụ: Tên sheet "Mẫu" thành Sheet 'T11.2022"</t>
  </si>
  <si>
    <t>Điền ngày tháng vào cột E7, E8</t>
  </si>
  <si>
    <t>Nhân viên khai timesheet, cụ thể:</t>
  </si>
  <si>
    <t>Tại Sheet của mỗi tháng, nhân viên điền các thông tin:</t>
  </si>
  <si>
    <t>Điền thông tin</t>
  </si>
  <si>
    <t>- Họ và tên</t>
  </si>
  <si>
    <t>Chọn hoặc điền thông tin (nếu không có)</t>
  </si>
  <si>
    <t>- Bộ phận</t>
  </si>
  <si>
    <t>- Phòng ban</t>
  </si>
  <si>
    <t>Chọn hoặc điền mã dự án (nếu không có)</t>
  </si>
  <si>
    <t>- Dự án làm việc</t>
  </si>
  <si>
    <t>Lưu ý: Mỗi dự án là 1 dòng</t>
  </si>
  <si>
    <t>Nhân viên kiểm tra lại thời gian làm việc và gửi cho cấp trên phê duyệt, gửi cho HR để chấm công</t>
  </si>
  <si>
    <t>Monthly Timesheet</t>
  </si>
  <si>
    <t xml:space="preserve">Gimasys Co., Ltd. </t>
  </si>
  <si>
    <t>3rd Floor, Sun Grand Ancora, 03 Luong Yen Str, Bach Dang Ward, Hai Ba Trung Dist, Ha Noi.</t>
  </si>
  <si>
    <t>Họ và tên</t>
  </si>
  <si>
    <t>Name</t>
  </si>
  <si>
    <t>Lê Phú Duy</t>
  </si>
  <si>
    <t>Phone: +84 024 3628 2267</t>
  </si>
  <si>
    <t>Từ ngày</t>
  </si>
  <si>
    <t>Điền ngày bắt đầu</t>
  </si>
  <si>
    <t>Đến ngày</t>
  </si>
  <si>
    <t>Điền ngày kết thúc</t>
  </si>
  <si>
    <t>Man-Day Calculation Policy</t>
  </si>
  <si>
    <t>8h/mandays</t>
  </si>
  <si>
    <t>Ghi cụ thể mã dự án theo Jira
Có thể tham khảo TBP/PM</t>
  </si>
  <si>
    <t>Ghi cụ thể mã dự án theo Odoo
Có thể tham khảo TBP/PM</t>
  </si>
  <si>
    <t>Chọn</t>
  </si>
  <si>
    <t>Công thức link</t>
  </si>
  <si>
    <t>Khu vực</t>
  </si>
  <si>
    <t>Bộ phận</t>
  </si>
  <si>
    <t>Mã phòng ban</t>
  </si>
  <si>
    <t>Mã dự án</t>
  </si>
  <si>
    <t>M</t>
  </si>
  <si>
    <t>Total
Hrs</t>
  </si>
  <si>
    <t>Số ngày</t>
  </si>
  <si>
    <t>Hà Nội</t>
  </si>
  <si>
    <t>SF</t>
  </si>
  <si>
    <t>Total Hours:</t>
  </si>
  <si>
    <t>Regular Hours:</t>
  </si>
  <si>
    <t>OT Hours:</t>
  </si>
  <si>
    <t>Note: Use increments of 0.25 (15 minutes) when recording hours.</t>
  </si>
  <si>
    <t>Employee Signature</t>
  </si>
  <si>
    <t>Date</t>
  </si>
  <si>
    <t>Supervisor Signature</t>
  </si>
  <si>
    <t xml:space="preserve">Supervisor Name: </t>
  </si>
  <si>
    <t>Mã Phòng ban</t>
  </si>
  <si>
    <t>R&amp;D</t>
  </si>
  <si>
    <t>000</t>
  </si>
  <si>
    <t>[I-MKT-NS] Các công việc MKT phòng NetSuite</t>
  </si>
  <si>
    <t>MKT</t>
  </si>
  <si>
    <t>BD - Marketing Division</t>
  </si>
  <si>
    <t>I-PLAN Các công việc của Phòng Kế hoạch</t>
  </si>
  <si>
    <t>BD</t>
  </si>
  <si>
    <t>BD - Sales Division</t>
  </si>
  <si>
    <t>I-SALE Công việc nội bộ phòng Sale &amp; SA</t>
  </si>
  <si>
    <t>Sales</t>
  </si>
  <si>
    <t>I-HA Công việc nội bộ phòng HC-KT</t>
  </si>
  <si>
    <t>SYS</t>
  </si>
  <si>
    <t>BD - System Administration</t>
  </si>
  <si>
    <t>[I-MKT-GG] Các công việc MKT phòng Google</t>
  </si>
  <si>
    <t>Local_SI</t>
  </si>
  <si>
    <t>BD - USAID Development Center</t>
  </si>
  <si>
    <t>[HN-NS-I21-JKs-01] Triển khai hệ thống phần mềm Oracle Netsuite cho Just Kids (HĐ số 117.2021/HĐKT-GMS)</t>
  </si>
  <si>
    <t>BOD</t>
  </si>
  <si>
    <t>[I-NS-Presales] Tham gia Sales &amp; Presales phòng NS</t>
  </si>
  <si>
    <t>BI</t>
  </si>
  <si>
    <t>BOF1 - Business Intelligence</t>
  </si>
  <si>
    <t>[I-BS-Presales] Tham gia Presales phòng BS</t>
  </si>
  <si>
    <t>BS</t>
  </si>
  <si>
    <t>BOF1 - Business Solutions</t>
  </si>
  <si>
    <t>[BD-D20-LSPP] Giảm ô nhiễm rác thải nhựa với các giải pháp địa phương (LSPP)</t>
  </si>
  <si>
    <t>NS</t>
  </si>
  <si>
    <t>BOF2 - Netsuite Division</t>
  </si>
  <si>
    <t>BI-I18-AML VPB-01 Triển khai hệ thống phòng chống rửa tiền và các nghiệp vụ liên quan của VPBank</t>
  </si>
  <si>
    <t>HR</t>
  </si>
  <si>
    <t>CA - Khong xac dinh</t>
  </si>
  <si>
    <t>GG-E20-GCP-01 Phát triển dịch vụ trên nền GCP</t>
  </si>
  <si>
    <t>Planning</t>
  </si>
  <si>
    <t>GG-LICENSE Mua bán license Google</t>
  </si>
  <si>
    <t>QA</t>
  </si>
  <si>
    <t>GG-Presale</t>
  </si>
  <si>
    <t>Accouting</t>
  </si>
  <si>
    <t>GG-SALES Công việc Sales. Presales của team Google</t>
  </si>
  <si>
    <t>SA</t>
  </si>
  <si>
    <t>CA - Sales Admin</t>
  </si>
  <si>
    <t>GG-SUPPORT Hỗ trợ khách hàng G Suite</t>
  </si>
  <si>
    <t>GG</t>
  </si>
  <si>
    <t>COB - Google Division</t>
  </si>
  <si>
    <t>[HC-BOF-22-INTERNAL-TRAINING] Đào tạo nội bộ. nghiên cứu. tự học phòng BOF HCM</t>
  </si>
  <si>
    <t>FOF - Salesforce Division</t>
  </si>
  <si>
    <t>[HC-BS-I22-GENCO3-01] TRIỂN KHAI HỆ THỐNG DATALOAD TẠI GENCO3</t>
  </si>
  <si>
    <t>SD</t>
  </si>
  <si>
    <t>FOF - Software Development</t>
  </si>
  <si>
    <t>[HC-BS-I22-KMS-02] Triển khai Quản lý dự án NetSuite</t>
  </si>
  <si>
    <t>[HC-BS-I22-MMVN-Tableau] Triển khai nền tảng Business Intelligence cho MM MEGA MARKET (VIỆT NAM) (HĐ số 2022.MIS.06)</t>
  </si>
  <si>
    <t>[HC-BS-I22-SNP-TABLEAU] Triển khai cho Báo cáo Tableau cho Tân Cảng</t>
  </si>
  <si>
    <t>[HC-BS-S22-ADK-01]</t>
  </si>
  <si>
    <t>[HC-BS-S22-SGC-01] Hỗ trợ hệ thống ORACLE EBS R12 tại SGC năm 2022</t>
  </si>
  <si>
    <t>[HC-BS-S22-TLN_NS] Dự án hỗ trợ NetSuite Talentnet</t>
  </si>
  <si>
    <t>[HC-GG-GCP22-HSC-01]</t>
  </si>
  <si>
    <t>[HCM-NS-S22-POPS-01]</t>
  </si>
  <si>
    <t>HC-NS-I22-FINX-01</t>
  </si>
  <si>
    <t>[HC-NS-I22-HGD-01] Chuyển đổi Item Assembly sang Item Inventory cho HGD</t>
  </si>
  <si>
    <t>[HC-NS-I22-LHH-MFG] Triển khai Oracle NetSuite cho Lâm Hiệp Hưng</t>
  </si>
  <si>
    <t>[HC-NS-RD22-VAS-01_FINX]</t>
  </si>
  <si>
    <t>[HC-SF-I22-NHG-CRM]</t>
  </si>
  <si>
    <t>[HC-SF-I22-SNP-CRM] Triển khai Phân hệ Sales Cloud &amp; Pardot cho Tân Cảng</t>
  </si>
  <si>
    <t>[HC-SF-I22-VHC-CR01] Dự án Triển khai Invoice-Order-Quote cho Vĩnh Hoàn</t>
  </si>
  <si>
    <t>[HC-SF-RD21-TELEGRAM] Tích hợp Telegram</t>
  </si>
  <si>
    <t>[HC-SF-RD21-ZALO_V3] Quản lý License Zalo</t>
  </si>
  <si>
    <t>[HC-SF-RD22-GMS-MKT] Dự án R&amp;D Marketing Cloud</t>
  </si>
  <si>
    <t>[HC-SF-RD22-SMS] Dự án Phát triển gói tích hợp SMS với đối tác TRILUAT</t>
  </si>
  <si>
    <t>HC-SF-S22-CRV-SRV</t>
  </si>
  <si>
    <t>[HC-SF-S22-GMS-01] FOFHCM hỗ trợ Salesforce nội bộ Gimasys năm 2022</t>
  </si>
  <si>
    <t>[HC-WS-S22-KCVN-02] Hỗ trợ vận hành cho KCVN giai đoạn 2</t>
  </si>
  <si>
    <t>[HN-BD-I22-WB-BDO] Xây dựng website BDO cho World bank</t>
  </si>
  <si>
    <t>[HN-BD-S22-PATH-01] Nâng cấp cổng dữ liệu HIV cấp tỉnh cho 3 tỉnh Đồng Nai. Tây Ninh. Tiền Giang</t>
  </si>
  <si>
    <t>[HN-BI-I21-ABG-FSD] Xây dựng tài liệu FSD OFSAA FCCM cho Ngân hàng MB hợp tác dùng ABG (HĐ số 01-2021/ABG-GIMASYS)</t>
  </si>
  <si>
    <t>[HN-BS-I21-Citigo-NS] Dịch vụ triển khai hệ thống phần mềm Oracle Netsuite cho Citigo</t>
  </si>
  <si>
    <t>HN-BS-I21-VIB-01] Nâng cấp hệ thống Oracle Finance</t>
  </si>
  <si>
    <t>[HN-BS-I22-CHG-01] Triển khai hệ thống ERP Oracle Netsuite tại Capital House (184.2022/HĐKT-GMS)</t>
  </si>
  <si>
    <t>[HN-BS-I22-MBF-01] Triển khai phân hệ quản lý tài sản doanh nghiệp và quản lý nhân sự tiền lương cho MobiFone trên hệ thống ERP (TECH/TCT-768-22-MOBIFONE/FIS-GIMASYS)</t>
  </si>
  <si>
    <t>HN-BS-S22-MBF-01</t>
  </si>
  <si>
    <t>[HN-BS-S22-MBF-02] Dự án Support của Trung tâm TCTK (MobiFone) năm 2022 (giai đoạn từ 28/9/2022 - 31/12/2022)</t>
  </si>
  <si>
    <t>[HN-GG-I22-TNG-POC] PROJECT GKE POC cho công ty TNTECH</t>
  </si>
  <si>
    <t>[HN-I22-NS-GMS-02]</t>
  </si>
  <si>
    <t>[HN-SD-S22-HNX-01 ] Bảo trì hệ thống Quản lý thông tin về công ty niêm yết và đăng ký giao dịch tại SGD Chứng khoán Hà Nội</t>
  </si>
  <si>
    <t>HN-SF-22-SFTRAINING</t>
  </si>
  <si>
    <t>HN-SF-I22-ACFC-MRKT</t>
  </si>
  <si>
    <t>[HN-SF-I22-VINUNI-01] Triển khai Quản lý Case+CRM cho Vin Uni</t>
  </si>
  <si>
    <t>[HN-SF-I22-VNA-CAPA] Dịch vụ triển khai Report Pro và nâng cấp CAPA cho VNA</t>
  </si>
  <si>
    <t>[HN-SF-I22-VNA_OCC-POC] Phát triển báo cáo giao ban hàng ngày cho trung tâm OCC của VNA</t>
  </si>
  <si>
    <t>HN-SF-I22-VNA-TBL BI</t>
  </si>
  <si>
    <t>[HN-SF-I22-VPB-POC-01] POC CRM cho Khách hàng VPbank</t>
  </si>
  <si>
    <t>HN-SF-S22-Ecogreen-LOYALTY</t>
  </si>
  <si>
    <t>[HN-SF-S22-VNA Support] Hỗ trợ các dự án VNA năm 2022</t>
  </si>
  <si>
    <t>HN-SY-I22-ACFC-02: CUNG CẤP DỊCH VỤ PHẦN MỀM TÍCH HỢP HỆ THỐNG CHO ACFC</t>
  </si>
  <si>
    <t>[HN-SY-RD22-Mobile-01] Dự án R&amp;D Fieldsale Mobile App phòng System</t>
  </si>
  <si>
    <t>[HN-SY-S22-SGC-01] Hỗ trợ hệ thống EBS của SGC năm 2022</t>
  </si>
  <si>
    <t>[HN-SY-S22-VPB-AML19C] Hợp đồng cung ứng dịch vụ Nâng cấp cơ sở dữ liệu phần mềm Oracle (Oracle Database) cho hệ thống AML từ 12C lên 19C</t>
  </si>
  <si>
    <t>[I22-BS-Training Fresher]</t>
  </si>
  <si>
    <t>[I-BD-PreSales] Các công việc Bán hàng BD</t>
  </si>
  <si>
    <t>[I-BS-S22-NS_GMS] Dự án support Netsuite nội bộ cho Gimasys</t>
  </si>
  <si>
    <t>I-GG Công việc nội bộ phòng Google</t>
  </si>
  <si>
    <t>[I-GG-RD22-Smart Analytic P2] R&amp;D Smart Analytics giai đoạn 2</t>
  </si>
  <si>
    <t>[I-MGNT] Các công việc Quản trị</t>
  </si>
  <si>
    <t>I-MKT-Branding</t>
  </si>
  <si>
    <t>I-MKT-Oracle</t>
  </si>
  <si>
    <t>[I-MKT-SF] Các công việc MKT phòng Salesforce</t>
  </si>
  <si>
    <t>I-mngt</t>
  </si>
  <si>
    <t>[I-Non chargeable] Các công việc chung công ty &amp; bộ phận</t>
  </si>
  <si>
    <t>I-QA Công việc nội bộ phòng QA</t>
  </si>
  <si>
    <t>[I-SF-Sales &amp; Presales] Các công việc Sales &amp; Presales phòng SF</t>
  </si>
  <si>
    <t>[I-SY-Presales] Tham gia Presales phòng System</t>
  </si>
  <si>
    <t>I-Training-GMS</t>
  </si>
  <si>
    <t>[I-Training-SFHCM-2022] Đào tạo nội bộ phòng SF năm 2022</t>
  </si>
  <si>
    <t>SF-D19-VNA-CARGO-01 Hệ thống quản lý giá. lập kế hoạch và báo cáo thương mại cho ban Tiếp Thị Hàng Hóa của VNA</t>
  </si>
  <si>
    <t>[SY-S20-CargoPriceList-01]_Nâng cấp chức năng PriceList trong dự án Cargo</t>
  </si>
  <si>
    <t>[SY-S22-GMS-Internal]</t>
  </si>
  <si>
    <t>OT (Số giờ)</t>
  </si>
  <si>
    <t>OT (Khoảng thời gian)</t>
  </si>
  <si>
    <t>By Vertex42.com</t>
  </si>
  <si>
    <t>https://www.vertex42.com/ExcelTemplates/monthly-timesheet.html</t>
  </si>
  <si>
    <t>© 2016 Vertex42 LLC</t>
  </si>
  <si>
    <t>This spreadsheet, including all worksheets and associated content is considered a copyrighted work under the United States and other copyright laws.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</si>
  <si>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</si>
  <si>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</si>
  <si>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See License Agreement</t>
  </si>
  <si>
    <t>https://www.vertex42.com/licensing/EULA_privateuse.html</t>
  </si>
  <si>
    <r>
      <rPr>
        <b/>
        <sz val="12"/>
        <color rgb="FF000000"/>
        <rFont val="Arial"/>
      </rPr>
      <t>Do not delete this worksheet.</t>
    </r>
    <r>
      <rPr>
        <sz val="12"/>
        <color theme="1"/>
        <rFont val="Arial"/>
      </rPr>
      <t xml:space="preserve"> If necessary, you may hide it by right-clicking on the tab and selecting Hide.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</si>
</sst>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d"/>
    <numFmt numFmtId="166" formatCode="mmm"/>
    <numFmt numFmtId="167" formatCode="[$-409]h:mm\ AM/PM"/>
  </numFmts>
  <fonts count="30">
    <font>
      <sz val="10"/>
      <color rgb="FF000000"/>
      <name val="Trebuchet MS"/>
      <scheme val="minor"/>
    </font>
    <font>
      <sz val="12"/>
      <color theme="1"/>
      <name val="Times New Roman"/>
    </font>
    <font>
      <sz val="12"/>
      <color rgb="FF000000"/>
      <name val="Times New Roman"/>
    </font>
    <font>
      <b/>
      <sz val="12"/>
      <color theme="1"/>
      <name val="Times New Roman"/>
    </font>
    <font>
      <sz val="10"/>
      <color theme="1"/>
      <name val="Times New Roman"/>
    </font>
    <font>
      <b/>
      <sz val="18"/>
      <color rgb="FF6F6F74"/>
      <name val="Times New Roman"/>
    </font>
    <font>
      <b/>
      <sz val="20"/>
      <color rgb="FF6F6F74"/>
      <name val="Times New Roman"/>
    </font>
    <font>
      <b/>
      <sz val="18"/>
      <color rgb="FF333333"/>
      <name val="Times New Roman"/>
    </font>
    <font>
      <u/>
      <sz val="10"/>
      <color rgb="FF0000FF"/>
      <name val="Times New Roman"/>
    </font>
    <font>
      <sz val="8"/>
      <color theme="1"/>
      <name val="Times New Roman"/>
    </font>
    <font>
      <b/>
      <sz val="11"/>
      <color theme="1"/>
      <name val="Times New Roman"/>
    </font>
    <font>
      <sz val="10"/>
      <name val="Trebuchet MS"/>
    </font>
    <font>
      <b/>
      <sz val="10"/>
      <color theme="1"/>
      <name val="Times New Roman"/>
    </font>
    <font>
      <sz val="9"/>
      <color theme="1"/>
      <name val="Times New Roman"/>
    </font>
    <font>
      <sz val="11"/>
      <color theme="1"/>
      <name val="Times New Roman"/>
    </font>
    <font>
      <sz val="10"/>
      <color rgb="FF0000FF"/>
      <name val="Times New Roman"/>
    </font>
    <font>
      <sz val="10"/>
      <color rgb="FFFFFFFF"/>
      <name val="Times New Roman"/>
    </font>
    <font>
      <b/>
      <sz val="9"/>
      <color rgb="FFFFFFFF"/>
      <name val="Times New Roman"/>
    </font>
    <font>
      <b/>
      <sz val="11"/>
      <color rgb="FFFFFFFF"/>
      <name val="Times New Roman"/>
    </font>
    <font>
      <i/>
      <sz val="10"/>
      <color theme="1"/>
      <name val="Times New Roman"/>
    </font>
    <font>
      <sz val="10"/>
      <color theme="1"/>
      <name val="Arial"/>
    </font>
    <font>
      <sz val="18"/>
      <color rgb="FF6F6F74"/>
      <name val="Arial"/>
    </font>
    <font>
      <sz val="10"/>
      <color theme="1"/>
      <name val="Trebuchet MS"/>
    </font>
    <font>
      <sz val="12"/>
      <color theme="1"/>
      <name val="Arial"/>
    </font>
    <font>
      <sz val="11"/>
      <color theme="1"/>
      <name val="Arial"/>
    </font>
    <font>
      <u/>
      <sz val="10"/>
      <color rgb="FF0000FF"/>
      <name val="Arial"/>
    </font>
    <font>
      <b/>
      <sz val="12"/>
      <color theme="1"/>
      <name val="Arial"/>
    </font>
    <font>
      <u/>
      <sz val="12"/>
      <color rgb="FF0000FF"/>
      <name val="Arial"/>
    </font>
    <font>
      <sz val="10"/>
      <color rgb="FFFFFFFF"/>
      <name val="Arial"/>
    </font>
    <font>
      <b/>
      <sz val="12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535357"/>
        <bgColor rgb="FF535357"/>
      </patternFill>
    </fill>
    <fill>
      <patternFill patternType="solid">
        <fgColor rgb="FFE2E2E3"/>
        <bgColor rgb="FFE2E2E3"/>
      </patternFill>
    </fill>
    <fill>
      <patternFill patternType="solid">
        <fgColor rgb="FFC5C5C7"/>
        <bgColor rgb="FFC5C5C7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/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6F6F7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8" fillId="0" borderId="0" xfId="0" applyFont="1"/>
    <xf numFmtId="0" fontId="4" fillId="0" borderId="0" xfId="0" applyFont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right" vertical="center"/>
    </xf>
    <xf numFmtId="0" fontId="4" fillId="0" borderId="0" xfId="0" quotePrefix="1" applyFont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0" fontId="12" fillId="0" borderId="0" xfId="0" applyFont="1"/>
    <xf numFmtId="0" fontId="17" fillId="4" borderId="5" xfId="0" applyFont="1" applyFill="1" applyBorder="1" applyAlignment="1">
      <alignment horizontal="center" vertical="center" shrinkToFit="1"/>
    </xf>
    <xf numFmtId="166" fontId="17" fillId="4" borderId="6" xfId="0" applyNumberFormat="1" applyFont="1" applyFill="1" applyBorder="1" applyAlignment="1">
      <alignment horizontal="center" vertical="center" shrinkToFit="1"/>
    </xf>
    <xf numFmtId="166" fontId="17" fillId="4" borderId="5" xfId="0" applyNumberFormat="1" applyFont="1" applyFill="1" applyBorder="1" applyAlignment="1">
      <alignment horizontal="center" vertical="center" shrinkToFit="1"/>
    </xf>
    <xf numFmtId="166" fontId="18" fillId="4" borderId="6" xfId="0" applyNumberFormat="1" applyFont="1" applyFill="1" applyBorder="1" applyAlignment="1">
      <alignment horizontal="center" vertical="center" shrinkToFit="1"/>
    </xf>
    <xf numFmtId="166" fontId="18" fillId="4" borderId="7" xfId="0" applyNumberFormat="1" applyFont="1" applyFill="1" applyBorder="1" applyAlignment="1">
      <alignment horizontal="center" vertical="center" shrinkToFit="1"/>
    </xf>
    <xf numFmtId="0" fontId="16" fillId="4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67" fontId="19" fillId="0" borderId="0" xfId="0" applyNumberFormat="1" applyFont="1" applyAlignment="1">
      <alignment horizontal="left" vertical="top"/>
    </xf>
    <xf numFmtId="167" fontId="4" fillId="0" borderId="0" xfId="0" applyNumberFormat="1" applyFont="1" applyAlignment="1">
      <alignment horizontal="left" vertical="top"/>
    </xf>
    <xf numFmtId="0" fontId="4" fillId="0" borderId="1" xfId="0" applyFont="1" applyBorder="1" applyAlignment="1">
      <alignment horizontal="left"/>
    </xf>
    <xf numFmtId="0" fontId="20" fillId="0" borderId="12" xfId="0" applyFont="1" applyBorder="1"/>
    <xf numFmtId="0" fontId="21" fillId="0" borderId="13" xfId="0" applyFont="1" applyBorder="1" applyAlignment="1">
      <alignment horizontal="left" vertical="center"/>
    </xf>
    <xf numFmtId="0" fontId="22" fillId="0" borderId="12" xfId="0" applyFont="1" applyBorder="1"/>
    <xf numFmtId="0" fontId="23" fillId="0" borderId="14" xfId="0" applyFont="1" applyBorder="1" applyAlignment="1">
      <alignment horizontal="left" wrapText="1"/>
    </xf>
    <xf numFmtId="0" fontId="24" fillId="0" borderId="12" xfId="0" applyFont="1" applyBorder="1"/>
    <xf numFmtId="0" fontId="25" fillId="0" borderId="12" xfId="0" applyFont="1" applyBorder="1" applyAlignment="1">
      <alignment horizontal="left" wrapText="1"/>
    </xf>
    <xf numFmtId="0" fontId="23" fillId="0" borderId="12" xfId="0" applyFont="1" applyBorder="1" applyAlignment="1">
      <alignment horizontal="left" wrapText="1"/>
    </xf>
    <xf numFmtId="0" fontId="26" fillId="0" borderId="12" xfId="0" applyFont="1" applyBorder="1" applyAlignment="1">
      <alignment horizontal="left" wrapText="1"/>
    </xf>
    <xf numFmtId="0" fontId="27" fillId="0" borderId="12" xfId="0" applyFont="1" applyBorder="1" applyAlignment="1">
      <alignment horizontal="left" wrapText="1"/>
    </xf>
    <xf numFmtId="0" fontId="23" fillId="0" borderId="12" xfId="0" applyFont="1" applyBorder="1" applyAlignment="1">
      <alignment horizontal="left"/>
    </xf>
    <xf numFmtId="0" fontId="28" fillId="0" borderId="12" xfId="0" applyFont="1" applyBorder="1" applyAlignment="1">
      <alignment horizontal="left"/>
    </xf>
    <xf numFmtId="0" fontId="20" fillId="0" borderId="0" xfId="0" applyFont="1"/>
    <xf numFmtId="0" fontId="2" fillId="2" borderId="10" xfId="0" applyFont="1" applyFill="1" applyBorder="1" applyAlignment="1">
      <alignment horizontal="left"/>
    </xf>
    <xf numFmtId="0" fontId="4" fillId="3" borderId="10" xfId="0" applyFont="1" applyFill="1" applyBorder="1"/>
    <xf numFmtId="0" fontId="4" fillId="3" borderId="10" xfId="0" applyFont="1" applyFill="1" applyBorder="1" applyAlignment="1">
      <alignment wrapText="1"/>
    </xf>
    <xf numFmtId="0" fontId="13" fillId="3" borderId="10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15" fillId="3" borderId="10" xfId="0" applyFont="1" applyFill="1" applyBorder="1" applyAlignment="1">
      <alignment horizontal="left"/>
    </xf>
    <xf numFmtId="0" fontId="15" fillId="3" borderId="10" xfId="0" applyFont="1" applyFill="1" applyBorder="1" applyAlignment="1">
      <alignment horizontal="center"/>
    </xf>
    <xf numFmtId="165" fontId="13" fillId="3" borderId="10" xfId="0" applyNumberFormat="1" applyFont="1" applyFill="1" applyBorder="1" applyAlignment="1">
      <alignment horizontal="center"/>
    </xf>
    <xf numFmtId="165" fontId="14" fillId="3" borderId="10" xfId="0" applyNumberFormat="1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 vertical="center" wrapText="1"/>
    </xf>
    <xf numFmtId="166" fontId="17" fillId="4" borderId="10" xfId="0" applyNumberFormat="1" applyFont="1" applyFill="1" applyBorder="1" applyAlignment="1">
      <alignment horizontal="center" vertical="center" shrinkToFit="1"/>
    </xf>
    <xf numFmtId="166" fontId="18" fillId="4" borderId="10" xfId="0" applyNumberFormat="1" applyFont="1" applyFill="1" applyBorder="1" applyAlignment="1">
      <alignment horizontal="center" vertical="center" shrinkToFit="1"/>
    </xf>
    <xf numFmtId="4" fontId="13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right" vertical="center"/>
    </xf>
    <xf numFmtId="0" fontId="13" fillId="5" borderId="10" xfId="0" applyFont="1" applyFill="1" applyBorder="1" applyAlignment="1">
      <alignment horizontal="center" vertical="center"/>
    </xf>
    <xf numFmtId="4" fontId="13" fillId="6" borderId="10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wrapText="1"/>
    </xf>
    <xf numFmtId="0" fontId="1" fillId="2" borderId="10" xfId="0" applyFont="1" applyFill="1" applyBorder="1"/>
    <xf numFmtId="0" fontId="1" fillId="2" borderId="10" xfId="0" quotePrefix="1" applyFont="1" applyFill="1" applyBorder="1"/>
    <xf numFmtId="0" fontId="1" fillId="2" borderId="10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/>
    </xf>
    <xf numFmtId="164" fontId="12" fillId="0" borderId="2" xfId="0" applyNumberFormat="1" applyFont="1" applyBorder="1" applyAlignment="1">
      <alignment horizontal="left"/>
    </xf>
    <xf numFmtId="0" fontId="12" fillId="5" borderId="10" xfId="0" applyFont="1" applyFill="1" applyBorder="1" applyAlignment="1">
      <alignment horizontal="right" vertical="center"/>
    </xf>
    <xf numFmtId="167" fontId="19" fillId="0" borderId="0" xfId="0" applyNumberFormat="1" applyFont="1" applyAlignment="1">
      <alignment horizontal="left" vertical="top"/>
    </xf>
    <xf numFmtId="14" fontId="4" fillId="0" borderId="0" xfId="0" applyNumberFormat="1" applyFont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1" fillId="0" borderId="1" xfId="0" applyFont="1" applyBorder="1" applyAlignment="1"/>
    <xf numFmtId="0" fontId="11" fillId="0" borderId="3" xfId="0" applyFont="1" applyBorder="1" applyAlignment="1"/>
    <xf numFmtId="0" fontId="11" fillId="0" borderId="4" xfId="0" applyFont="1" applyBorder="1" applyAlignment="1"/>
    <xf numFmtId="0" fontId="11" fillId="0" borderId="10" xfId="0" applyFont="1" applyBorder="1" applyAlignment="1"/>
    <xf numFmtId="0" fontId="0" fillId="0" borderId="0" xfId="0" applyAlignment="1"/>
    <xf numFmtId="0" fontId="11" fillId="0" borderId="11" xfId="0" applyFont="1" applyBorder="1" applyAlignment="1"/>
  </cellXfs>
  <cellStyles count="1">
    <cellStyle name="Normal" xfId="0" builtinId="0"/>
  </cellStyles>
  <dxfs count="1">
    <dxf>
      <fill>
        <patternFill patternType="none"/>
      </fill>
      <border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0</xdr:colOff>
      <xdr:row>6</xdr:row>
      <xdr:rowOff>0</xdr:rowOff>
    </xdr:from>
    <xdr:ext cx="314325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</xdr:row>
      <xdr:rowOff>0</xdr:rowOff>
    </xdr:from>
    <xdr:ext cx="314325" cy="3238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076325" cy="40957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3486150</xdr:colOff>
      <xdr:row>0</xdr:row>
      <xdr:rowOff>19050</xdr:rowOff>
    </xdr:from>
    <xdr:ext cx="1581150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rebuchet MS"/>
        <a:ea typeface="Trebuchet MS"/>
        <a:cs typeface="Trebuchet MS"/>
      </a:majorFont>
      <a:minorFont>
        <a:latin typeface="Trebuchet MS"/>
        <a:ea typeface="Trebuchet MS"/>
        <a:cs typeface="Trebuchet M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vertex42.com/licensing/EULA_privateuse.html" TargetMode="External"/><Relationship Id="rId1" Type="http://schemas.openxmlformats.org/officeDocument/2006/relationships/hyperlink" Target="https://www.vertex42.com/ExcelTemplates/monthly-timeshee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workbookViewId="0"/>
  </sheetViews>
  <sheetFormatPr defaultColWidth="14.42578125" defaultRowHeight="15" customHeight="1"/>
  <cols>
    <col min="1" max="1" width="5" customWidth="1"/>
    <col min="2" max="2" width="18.5703125" customWidth="1"/>
    <col min="3" max="6" width="14.42578125" customWidth="1"/>
  </cols>
  <sheetData>
    <row r="1" spans="1:23" ht="1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" customHeight="1">
      <c r="A3" s="3">
        <v>1</v>
      </c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" customHeight="1">
      <c r="A4" s="3">
        <v>2</v>
      </c>
      <c r="B4" s="2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" customHeight="1">
      <c r="A5" s="3"/>
      <c r="B5" s="2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" customHeight="1">
      <c r="A6" s="3">
        <v>3</v>
      </c>
      <c r="B6" s="2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" customHeight="1">
      <c r="A7" s="3">
        <v>4</v>
      </c>
      <c r="B7" s="2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" customHeight="1">
      <c r="A8" s="3"/>
      <c r="B8" s="45" t="s">
        <v>6</v>
      </c>
      <c r="C8" s="2" t="s">
        <v>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" customHeight="1">
      <c r="A9" s="3"/>
      <c r="B9" s="2" t="s">
        <v>8</v>
      </c>
      <c r="C9" s="2" t="s">
        <v>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" customHeight="1">
      <c r="A10" s="3"/>
      <c r="B10" s="2" t="s">
        <v>10</v>
      </c>
      <c r="C10" s="2" t="s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" customHeight="1">
      <c r="A11" s="3"/>
      <c r="B11" s="2" t="s">
        <v>11</v>
      </c>
      <c r="C11" s="2" t="s">
        <v>12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" customHeight="1">
      <c r="A12" s="3"/>
      <c r="B12" s="2" t="s">
        <v>13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" customHeight="1">
      <c r="A13" s="3">
        <v>5</v>
      </c>
      <c r="B13" s="4" t="s">
        <v>14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" customHeight="1">
      <c r="A14" s="3"/>
      <c r="B14" s="2" t="s">
        <v>15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" customHeight="1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" customHeight="1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" customHeight="1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6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6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6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/>
    <row r="222" spans="1:23" ht="15.75" customHeight="1"/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T1000"/>
  <sheetViews>
    <sheetView showGridLines="0" tabSelected="1" workbookViewId="0">
      <pane ySplit="9" topLeftCell="A10" activePane="bottomLeft" state="frozen"/>
      <selection pane="bottomLeft" activeCell="AT10" sqref="AT10"/>
    </sheetView>
  </sheetViews>
  <sheetFormatPr defaultColWidth="14.42578125" defaultRowHeight="15" customHeight="1"/>
  <cols>
    <col min="1" max="1" width="25.140625" customWidth="1"/>
    <col min="2" max="3" width="12.28515625" customWidth="1"/>
    <col min="4" max="4" width="26" customWidth="1"/>
    <col min="5" max="5" width="39.85546875" customWidth="1"/>
    <col min="6" max="7" width="4.140625" hidden="1" customWidth="1"/>
    <col min="8" max="8" width="6.85546875" customWidth="1"/>
    <col min="9" max="9" width="5.42578125" customWidth="1"/>
    <col min="10" max="10" width="4.85546875" customWidth="1"/>
    <col min="11" max="40" width="4.140625" customWidth="1"/>
    <col min="41" max="42" width="4.140625" hidden="1" customWidth="1"/>
    <col min="43" max="44" width="8.85546875" customWidth="1"/>
    <col min="45" max="45" width="9.140625" customWidth="1"/>
    <col min="46" max="46" width="20.28515625" customWidth="1"/>
  </cols>
  <sheetData>
    <row r="1" spans="1:46" ht="13.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spans="1:46" ht="13.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 spans="1:46" ht="25.5" customHeight="1">
      <c r="A3" s="6" t="s">
        <v>16</v>
      </c>
      <c r="B3" s="7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 t="s">
        <v>17</v>
      </c>
      <c r="AG3" s="8"/>
      <c r="AH3" s="8"/>
      <c r="AI3" s="8"/>
      <c r="AJ3" s="8"/>
      <c r="AK3" s="8"/>
      <c r="AL3" s="8"/>
      <c r="AM3" s="8"/>
      <c r="AN3" s="8"/>
      <c r="AO3" s="8"/>
      <c r="AP3" s="5"/>
      <c r="AQ3" s="9"/>
      <c r="AR3" s="9"/>
      <c r="AS3" s="5"/>
      <c r="AT3" s="10"/>
    </row>
    <row r="4" spans="1:46" ht="13.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11" t="s">
        <v>18</v>
      </c>
      <c r="AG4" s="5"/>
      <c r="AH4" s="5"/>
      <c r="AI4" s="5"/>
      <c r="AJ4" s="5"/>
      <c r="AK4" s="5"/>
      <c r="AL4" s="5"/>
      <c r="AM4" s="5"/>
      <c r="AN4" s="5"/>
      <c r="AO4" s="5"/>
      <c r="AP4" s="5"/>
      <c r="AQ4" s="11"/>
      <c r="AR4" s="11"/>
      <c r="AS4" s="5"/>
      <c r="AT4" s="12"/>
    </row>
    <row r="5" spans="1:46" ht="14.1">
      <c r="A5" s="13" t="s">
        <v>19</v>
      </c>
      <c r="B5" s="13"/>
      <c r="C5" s="13"/>
      <c r="D5" s="13"/>
      <c r="E5" s="66"/>
      <c r="F5" s="73"/>
      <c r="G5" s="73"/>
      <c r="H5" s="7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11"/>
      <c r="AG5" s="5"/>
      <c r="AH5" s="5"/>
      <c r="AI5" s="5"/>
      <c r="AJ5" s="5"/>
      <c r="AK5" s="5"/>
      <c r="AL5" s="5"/>
      <c r="AM5" s="5"/>
      <c r="AN5" s="5"/>
      <c r="AO5" s="5"/>
      <c r="AP5" s="5"/>
      <c r="AQ5" s="11"/>
      <c r="AR5" s="11"/>
      <c r="AS5" s="5"/>
      <c r="AT5" s="5"/>
    </row>
    <row r="6" spans="1:46" ht="13.5">
      <c r="A6" s="11" t="s">
        <v>20</v>
      </c>
      <c r="B6" s="11" t="s">
        <v>21</v>
      </c>
      <c r="C6" s="11"/>
      <c r="D6" s="11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14" t="s">
        <v>22</v>
      </c>
      <c r="AG6" s="5"/>
      <c r="AH6" s="5"/>
      <c r="AI6" s="5"/>
      <c r="AJ6" s="5"/>
      <c r="AK6" s="5"/>
      <c r="AL6" s="5"/>
      <c r="AM6" s="5"/>
      <c r="AN6" s="15"/>
      <c r="AO6" s="5"/>
      <c r="AP6" s="5"/>
      <c r="AQ6" s="11"/>
      <c r="AR6" s="11"/>
      <c r="AS6" s="5"/>
      <c r="AT6" s="5"/>
    </row>
    <row r="7" spans="1:46" ht="13.5">
      <c r="A7" s="11" t="s">
        <v>23</v>
      </c>
      <c r="B7" s="16">
        <v>45992</v>
      </c>
      <c r="C7" s="11"/>
      <c r="D7" s="11" t="s">
        <v>24</v>
      </c>
      <c r="E7" s="67">
        <f>B7</f>
        <v>45992</v>
      </c>
      <c r="F7" s="74"/>
      <c r="G7" s="75"/>
      <c r="H7" s="1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15"/>
      <c r="AO7" s="5"/>
      <c r="AP7" s="5"/>
      <c r="AQ7" s="11"/>
      <c r="AR7" s="11"/>
      <c r="AS7" s="5"/>
      <c r="AT7" s="5"/>
    </row>
    <row r="8" spans="1:46" ht="13.5">
      <c r="A8" s="11" t="s">
        <v>25</v>
      </c>
      <c r="B8" s="16">
        <v>46022</v>
      </c>
      <c r="C8" s="11"/>
      <c r="D8" s="11" t="s">
        <v>26</v>
      </c>
      <c r="E8" s="67">
        <f t="shared" ref="E8" si="0">B8</f>
        <v>46022</v>
      </c>
      <c r="F8" s="74"/>
      <c r="G8" s="7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46" ht="13.5">
      <c r="A9" s="11" t="s">
        <v>27</v>
      </c>
      <c r="B9" s="5"/>
      <c r="C9" s="5"/>
      <c r="D9" s="5"/>
      <c r="E9" s="17" t="s">
        <v>28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15"/>
      <c r="AO9" s="5"/>
      <c r="AP9" s="5"/>
      <c r="AQ9" s="5"/>
      <c r="AR9" s="5"/>
      <c r="AS9" s="5"/>
      <c r="AT9" s="5"/>
    </row>
    <row r="10" spans="1:46" ht="28.5" customHeight="1">
      <c r="A10" s="46"/>
      <c r="B10" s="46"/>
      <c r="C10" s="46"/>
      <c r="D10" s="46"/>
      <c r="E10" s="47" t="s">
        <v>29</v>
      </c>
      <c r="F10" s="48"/>
      <c r="G10" s="48" t="str">
        <f t="shared" ref="G10:N10" si="1">IF(OR(F11="",MONTH(G11)&lt;&gt;MONTH(F11)),TEXT(G11,"mmm"),"")</f>
        <v/>
      </c>
      <c r="H10" s="48" t="str">
        <f t="shared" si="1"/>
        <v>Dec</v>
      </c>
      <c r="I10" s="48" t="str">
        <f t="shared" si="1"/>
        <v/>
      </c>
      <c r="J10" s="48" t="str">
        <f t="shared" si="1"/>
        <v/>
      </c>
      <c r="K10" s="48" t="str">
        <f t="shared" si="1"/>
        <v/>
      </c>
      <c r="L10" s="48" t="str">
        <f t="shared" si="1"/>
        <v/>
      </c>
      <c r="M10" s="48" t="str">
        <f t="shared" si="1"/>
        <v/>
      </c>
      <c r="N10" s="48" t="str">
        <f t="shared" si="1"/>
        <v/>
      </c>
      <c r="O10" s="48"/>
      <c r="P10" s="48" t="str">
        <f t="shared" ref="P10:AP10" si="2">IF(OR(O11="",MONTH(P11)&lt;&gt;MONTH(O11)),TEXT(P11,"mmm"),"")</f>
        <v/>
      </c>
      <c r="Q10" s="48" t="str">
        <f t="shared" si="2"/>
        <v/>
      </c>
      <c r="R10" s="48" t="str">
        <f t="shared" si="2"/>
        <v/>
      </c>
      <c r="S10" s="48" t="str">
        <f t="shared" si="2"/>
        <v/>
      </c>
      <c r="T10" s="48" t="str">
        <f t="shared" si="2"/>
        <v/>
      </c>
      <c r="U10" s="48" t="str">
        <f t="shared" si="2"/>
        <v/>
      </c>
      <c r="V10" s="48" t="str">
        <f t="shared" si="2"/>
        <v/>
      </c>
      <c r="W10" s="48" t="str">
        <f t="shared" si="2"/>
        <v/>
      </c>
      <c r="X10" s="48" t="str">
        <f t="shared" si="2"/>
        <v/>
      </c>
      <c r="Y10" s="48" t="str">
        <f t="shared" si="2"/>
        <v/>
      </c>
      <c r="Z10" s="48" t="str">
        <f t="shared" si="2"/>
        <v/>
      </c>
      <c r="AA10" s="48" t="str">
        <f t="shared" si="2"/>
        <v/>
      </c>
      <c r="AB10" s="48" t="str">
        <f t="shared" si="2"/>
        <v/>
      </c>
      <c r="AC10" s="48" t="str">
        <f t="shared" si="2"/>
        <v/>
      </c>
      <c r="AD10" s="48" t="str">
        <f t="shared" si="2"/>
        <v/>
      </c>
      <c r="AE10" s="48" t="str">
        <f t="shared" si="2"/>
        <v/>
      </c>
      <c r="AF10" s="48" t="str">
        <f t="shared" si="2"/>
        <v/>
      </c>
      <c r="AG10" s="48" t="str">
        <f t="shared" si="2"/>
        <v/>
      </c>
      <c r="AH10" s="48" t="str">
        <f t="shared" si="2"/>
        <v/>
      </c>
      <c r="AI10" s="48" t="str">
        <f t="shared" si="2"/>
        <v/>
      </c>
      <c r="AJ10" s="48" t="str">
        <f t="shared" si="2"/>
        <v/>
      </c>
      <c r="AK10" s="48" t="str">
        <f t="shared" si="2"/>
        <v/>
      </c>
      <c r="AL10" s="48" t="str">
        <f t="shared" si="2"/>
        <v/>
      </c>
      <c r="AM10" s="48" t="str">
        <f t="shared" si="2"/>
        <v>Jan</v>
      </c>
      <c r="AN10" s="49" t="str">
        <f t="shared" si="2"/>
        <v/>
      </c>
      <c r="AO10" s="49" t="str">
        <f t="shared" si="2"/>
        <v/>
      </c>
      <c r="AP10" s="49" t="str">
        <f t="shared" si="2"/>
        <v/>
      </c>
      <c r="AQ10" s="46"/>
      <c r="AR10" s="46"/>
      <c r="AS10" s="5"/>
      <c r="AT10" s="5"/>
    </row>
    <row r="11" spans="1:46" ht="14.45">
      <c r="A11" s="50" t="s">
        <v>30</v>
      </c>
      <c r="B11" s="51" t="s">
        <v>31</v>
      </c>
      <c r="C11" s="51" t="s">
        <v>31</v>
      </c>
      <c r="D11" s="51" t="s">
        <v>32</v>
      </c>
      <c r="E11" s="51" t="s">
        <v>31</v>
      </c>
      <c r="F11" s="52">
        <f>$E$7-(WEEKDAY($E$7,1)-(F8-1))-IF((WEEKDAY($E$7,1)-(F8-1))&lt;=0,7,0)+1</f>
        <v>45990</v>
      </c>
      <c r="G11" s="52">
        <f t="shared" ref="G11:AP11" si="3">F11+1</f>
        <v>45991</v>
      </c>
      <c r="H11" s="52">
        <f t="shared" si="3"/>
        <v>45992</v>
      </c>
      <c r="I11" s="52">
        <f t="shared" si="3"/>
        <v>45993</v>
      </c>
      <c r="J11" s="52">
        <f>I11+1</f>
        <v>45994</v>
      </c>
      <c r="K11" s="52">
        <f t="shared" si="3"/>
        <v>45995</v>
      </c>
      <c r="L11" s="52">
        <f t="shared" si="3"/>
        <v>45996</v>
      </c>
      <c r="M11" s="52">
        <f t="shared" si="3"/>
        <v>45997</v>
      </c>
      <c r="N11" s="52">
        <f t="shared" si="3"/>
        <v>45998</v>
      </c>
      <c r="O11" s="52">
        <f t="shared" si="3"/>
        <v>45999</v>
      </c>
      <c r="P11" s="52">
        <f t="shared" si="3"/>
        <v>46000</v>
      </c>
      <c r="Q11" s="52">
        <f t="shared" si="3"/>
        <v>46001</v>
      </c>
      <c r="R11" s="52">
        <f t="shared" si="3"/>
        <v>46002</v>
      </c>
      <c r="S11" s="52">
        <f t="shared" si="3"/>
        <v>46003</v>
      </c>
      <c r="T11" s="52">
        <f t="shared" si="3"/>
        <v>46004</v>
      </c>
      <c r="U11" s="52">
        <f t="shared" si="3"/>
        <v>46005</v>
      </c>
      <c r="V11" s="52">
        <f t="shared" si="3"/>
        <v>46006</v>
      </c>
      <c r="W11" s="52">
        <f t="shared" si="3"/>
        <v>46007</v>
      </c>
      <c r="X11" s="52">
        <f t="shared" si="3"/>
        <v>46008</v>
      </c>
      <c r="Y11" s="52">
        <f t="shared" si="3"/>
        <v>46009</v>
      </c>
      <c r="Z11" s="52">
        <f t="shared" si="3"/>
        <v>46010</v>
      </c>
      <c r="AA11" s="52">
        <f t="shared" si="3"/>
        <v>46011</v>
      </c>
      <c r="AB11" s="52">
        <f t="shared" si="3"/>
        <v>46012</v>
      </c>
      <c r="AC11" s="52">
        <f t="shared" si="3"/>
        <v>46013</v>
      </c>
      <c r="AD11" s="52">
        <f t="shared" si="3"/>
        <v>46014</v>
      </c>
      <c r="AE11" s="52">
        <f t="shared" si="3"/>
        <v>46015</v>
      </c>
      <c r="AF11" s="52">
        <f t="shared" si="3"/>
        <v>46016</v>
      </c>
      <c r="AG11" s="52">
        <f t="shared" si="3"/>
        <v>46017</v>
      </c>
      <c r="AH11" s="52">
        <f t="shared" si="3"/>
        <v>46018</v>
      </c>
      <c r="AI11" s="52">
        <f t="shared" si="3"/>
        <v>46019</v>
      </c>
      <c r="AJ11" s="52">
        <f t="shared" si="3"/>
        <v>46020</v>
      </c>
      <c r="AK11" s="52">
        <f t="shared" si="3"/>
        <v>46021</v>
      </c>
      <c r="AL11" s="52">
        <f t="shared" si="3"/>
        <v>46022</v>
      </c>
      <c r="AM11" s="52">
        <f t="shared" si="3"/>
        <v>46023</v>
      </c>
      <c r="AN11" s="52">
        <f t="shared" si="3"/>
        <v>46024</v>
      </c>
      <c r="AO11" s="53">
        <f t="shared" si="3"/>
        <v>46025</v>
      </c>
      <c r="AP11" s="53">
        <f t="shared" si="3"/>
        <v>46026</v>
      </c>
      <c r="AQ11" s="46"/>
      <c r="AR11" s="46"/>
      <c r="AS11" s="5"/>
      <c r="AT11" s="5"/>
    </row>
    <row r="12" spans="1:46" ht="27.75" customHeight="1">
      <c r="A12" s="54" t="s">
        <v>19</v>
      </c>
      <c r="B12" s="54" t="s">
        <v>33</v>
      </c>
      <c r="C12" s="54" t="s">
        <v>34</v>
      </c>
      <c r="D12" s="54" t="s">
        <v>35</v>
      </c>
      <c r="E12" s="54" t="s">
        <v>36</v>
      </c>
      <c r="F12" s="18" t="s">
        <v>37</v>
      </c>
      <c r="G12" s="55" t="str">
        <f t="shared" ref="G12:AP12" si="4">CHOOSE(WEEKDAY(G11,1),"Su","M","Tu","W","Th","F","Sa")</f>
        <v>Su</v>
      </c>
      <c r="H12" s="55" t="str">
        <f t="shared" si="4"/>
        <v>M</v>
      </c>
      <c r="I12" s="55" t="str">
        <f t="shared" si="4"/>
        <v>Tu</v>
      </c>
      <c r="J12" s="55" t="str">
        <f t="shared" si="4"/>
        <v>W</v>
      </c>
      <c r="K12" s="55" t="str">
        <f t="shared" si="4"/>
        <v>Th</v>
      </c>
      <c r="L12" s="19" t="str">
        <f t="shared" si="4"/>
        <v>F</v>
      </c>
      <c r="M12" s="20" t="str">
        <f t="shared" si="4"/>
        <v>Sa</v>
      </c>
      <c r="N12" s="55" t="str">
        <f t="shared" si="4"/>
        <v>Su</v>
      </c>
      <c r="O12" s="55" t="str">
        <f t="shared" si="4"/>
        <v>M</v>
      </c>
      <c r="P12" s="55" t="str">
        <f t="shared" si="4"/>
        <v>Tu</v>
      </c>
      <c r="Q12" s="55" t="str">
        <f t="shared" si="4"/>
        <v>W</v>
      </c>
      <c r="R12" s="55" t="str">
        <f t="shared" si="4"/>
        <v>Th</v>
      </c>
      <c r="S12" s="19" t="str">
        <f t="shared" si="4"/>
        <v>F</v>
      </c>
      <c r="T12" s="20" t="str">
        <f t="shared" si="4"/>
        <v>Sa</v>
      </c>
      <c r="U12" s="55" t="str">
        <f t="shared" si="4"/>
        <v>Su</v>
      </c>
      <c r="V12" s="55" t="str">
        <f t="shared" si="4"/>
        <v>M</v>
      </c>
      <c r="W12" s="55" t="str">
        <f t="shared" si="4"/>
        <v>Tu</v>
      </c>
      <c r="X12" s="55" t="str">
        <f t="shared" si="4"/>
        <v>W</v>
      </c>
      <c r="Y12" s="55" t="str">
        <f t="shared" si="4"/>
        <v>Th</v>
      </c>
      <c r="Z12" s="19" t="str">
        <f t="shared" si="4"/>
        <v>F</v>
      </c>
      <c r="AA12" s="20" t="str">
        <f t="shared" si="4"/>
        <v>Sa</v>
      </c>
      <c r="AB12" s="55" t="str">
        <f t="shared" si="4"/>
        <v>Su</v>
      </c>
      <c r="AC12" s="55" t="str">
        <f t="shared" si="4"/>
        <v>M</v>
      </c>
      <c r="AD12" s="55" t="str">
        <f t="shared" si="4"/>
        <v>Tu</v>
      </c>
      <c r="AE12" s="55" t="str">
        <f t="shared" si="4"/>
        <v>W</v>
      </c>
      <c r="AF12" s="55" t="str">
        <f t="shared" si="4"/>
        <v>Th</v>
      </c>
      <c r="AG12" s="19" t="str">
        <f t="shared" si="4"/>
        <v>F</v>
      </c>
      <c r="AH12" s="20" t="str">
        <f t="shared" si="4"/>
        <v>Sa</v>
      </c>
      <c r="AI12" s="55" t="str">
        <f t="shared" si="4"/>
        <v>Su</v>
      </c>
      <c r="AJ12" s="55" t="str">
        <f t="shared" si="4"/>
        <v>M</v>
      </c>
      <c r="AK12" s="55" t="str">
        <f t="shared" si="4"/>
        <v>Tu</v>
      </c>
      <c r="AL12" s="55" t="str">
        <f t="shared" si="4"/>
        <v>W</v>
      </c>
      <c r="AM12" s="55" t="str">
        <f t="shared" si="4"/>
        <v>Th</v>
      </c>
      <c r="AN12" s="21" t="str">
        <f t="shared" si="4"/>
        <v>F</v>
      </c>
      <c r="AO12" s="56" t="str">
        <f t="shared" si="4"/>
        <v>Sa</v>
      </c>
      <c r="AP12" s="22" t="str">
        <f t="shared" si="4"/>
        <v>Su</v>
      </c>
      <c r="AQ12" s="23" t="s">
        <v>38</v>
      </c>
      <c r="AR12" s="54" t="s">
        <v>39</v>
      </c>
      <c r="AS12" s="24"/>
      <c r="AT12" s="24"/>
    </row>
    <row r="13" spans="1:46" ht="13.5">
      <c r="A13" s="25" t="str">
        <f>B6</f>
        <v>Lê Phú Duy</v>
      </c>
      <c r="B13" s="25" t="s">
        <v>40</v>
      </c>
      <c r="C13" s="26" t="s">
        <v>41</v>
      </c>
      <c r="D13" s="27" t="str">
        <f>VLOOKUP(C13,Data!A:B,2,0)</f>
        <v>FOF - Salesforce Division</v>
      </c>
      <c r="E13" s="27"/>
      <c r="F13" s="28"/>
      <c r="G13" s="28"/>
      <c r="H13" s="28">
        <v>0</v>
      </c>
      <c r="I13" s="28">
        <v>8</v>
      </c>
      <c r="J13" s="28">
        <v>4</v>
      </c>
      <c r="K13" s="28">
        <v>4</v>
      </c>
      <c r="L13" s="28">
        <v>4</v>
      </c>
      <c r="M13" s="28"/>
      <c r="N13" s="28"/>
      <c r="O13" s="28">
        <v>4</v>
      </c>
      <c r="P13" s="28">
        <v>8</v>
      </c>
      <c r="Q13" s="28">
        <v>8</v>
      </c>
      <c r="R13" s="28">
        <v>0</v>
      </c>
      <c r="S13" s="28">
        <v>0</v>
      </c>
      <c r="T13" s="28"/>
      <c r="U13" s="28"/>
      <c r="V13" s="28">
        <v>0</v>
      </c>
      <c r="W13" s="28">
        <v>8</v>
      </c>
      <c r="X13" s="28">
        <v>4</v>
      </c>
      <c r="Y13" s="28">
        <v>4</v>
      </c>
      <c r="Z13" s="28">
        <v>4</v>
      </c>
      <c r="AA13" s="28"/>
      <c r="AB13" s="28"/>
      <c r="AC13" s="28">
        <v>4</v>
      </c>
      <c r="AD13" s="28">
        <v>4</v>
      </c>
      <c r="AE13" s="28">
        <v>8</v>
      </c>
      <c r="AF13" s="28">
        <v>4</v>
      </c>
      <c r="AG13" s="28">
        <v>0</v>
      </c>
      <c r="AH13" s="28"/>
      <c r="AI13" s="28"/>
      <c r="AJ13" s="28">
        <v>4</v>
      </c>
      <c r="AK13" s="28">
        <v>8</v>
      </c>
      <c r="AL13" s="28">
        <v>0</v>
      </c>
      <c r="AM13" s="28"/>
      <c r="AN13" s="28"/>
      <c r="AO13" s="28"/>
      <c r="AP13" s="29"/>
      <c r="AQ13" s="57">
        <f t="shared" ref="AQ13:AQ23" si="5">SUM(F13:AP13)</f>
        <v>92</v>
      </c>
      <c r="AR13" s="57">
        <f t="shared" ref="AR13:AR20" si="6">COUNTA(F13:AP13)</f>
        <v>23</v>
      </c>
      <c r="AS13" s="5"/>
      <c r="AT13" s="5"/>
    </row>
    <row r="14" spans="1:46" ht="13.5">
      <c r="A14" s="25"/>
      <c r="B14" s="25"/>
      <c r="C14" s="26"/>
      <c r="D14" s="27"/>
      <c r="E14" s="27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57">
        <f t="shared" si="5"/>
        <v>0</v>
      </c>
      <c r="AR14" s="57">
        <f t="shared" si="6"/>
        <v>0</v>
      </c>
      <c r="AS14" s="5"/>
      <c r="AT14" s="5"/>
    </row>
    <row r="15" spans="1:46" ht="13.5">
      <c r="A15" s="25"/>
      <c r="B15" s="25"/>
      <c r="C15" s="26"/>
      <c r="D15" s="27"/>
      <c r="E15" s="27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57">
        <f t="shared" si="5"/>
        <v>0</v>
      </c>
      <c r="AR15" s="57">
        <f t="shared" si="6"/>
        <v>0</v>
      </c>
      <c r="AS15" s="5"/>
      <c r="AT15" s="5"/>
    </row>
    <row r="16" spans="1:46" ht="16.5" customHeight="1">
      <c r="A16" s="25"/>
      <c r="B16" s="25"/>
      <c r="C16" s="26"/>
      <c r="D16" s="27"/>
      <c r="E16" s="27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57">
        <f t="shared" si="5"/>
        <v>0</v>
      </c>
      <c r="AR16" s="57">
        <f t="shared" si="6"/>
        <v>0</v>
      </c>
      <c r="AS16" s="5"/>
      <c r="AT16" s="5"/>
    </row>
    <row r="17" spans="1:46" ht="15.75" customHeight="1">
      <c r="A17" s="25"/>
      <c r="B17" s="25"/>
      <c r="C17" s="26"/>
      <c r="D17" s="27"/>
      <c r="E17" s="27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57">
        <f t="shared" si="5"/>
        <v>0</v>
      </c>
      <c r="AR17" s="57">
        <f t="shared" si="6"/>
        <v>0</v>
      </c>
      <c r="AS17" s="5"/>
      <c r="AT17" s="5"/>
    </row>
    <row r="18" spans="1:46" ht="16.5" customHeight="1">
      <c r="A18" s="25"/>
      <c r="B18" s="25"/>
      <c r="C18" s="26"/>
      <c r="D18" s="27"/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57">
        <f t="shared" si="5"/>
        <v>0</v>
      </c>
      <c r="AR18" s="57">
        <f t="shared" si="6"/>
        <v>0</v>
      </c>
      <c r="AS18" s="5"/>
      <c r="AT18" s="5"/>
    </row>
    <row r="19" spans="1:46" ht="16.5" customHeight="1">
      <c r="A19" s="25"/>
      <c r="B19" s="25"/>
      <c r="C19" s="26"/>
      <c r="D19" s="27"/>
      <c r="E19" s="27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57">
        <f t="shared" si="5"/>
        <v>0</v>
      </c>
      <c r="AR19" s="57">
        <f t="shared" si="6"/>
        <v>0</v>
      </c>
      <c r="AS19" s="5"/>
      <c r="AT19" s="5"/>
    </row>
    <row r="20" spans="1:46" ht="16.5" customHeight="1">
      <c r="A20" s="25"/>
      <c r="B20" s="25"/>
      <c r="C20" s="26"/>
      <c r="D20" s="27"/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57">
        <f t="shared" si="5"/>
        <v>0</v>
      </c>
      <c r="AR20" s="57">
        <f t="shared" si="6"/>
        <v>0</v>
      </c>
      <c r="AS20" s="5"/>
      <c r="AT20" s="5"/>
    </row>
    <row r="21" spans="1:46" ht="24" customHeight="1">
      <c r="A21" s="68" t="s">
        <v>42</v>
      </c>
      <c r="B21" s="76"/>
      <c r="C21" s="76"/>
      <c r="D21" s="76"/>
      <c r="E21" s="76"/>
      <c r="F21" s="59">
        <f t="shared" ref="F21:AP21" si="7">SUM(F13:F20)</f>
        <v>0</v>
      </c>
      <c r="G21" s="59">
        <f t="shared" si="7"/>
        <v>0</v>
      </c>
      <c r="H21" s="59">
        <f t="shared" si="7"/>
        <v>0</v>
      </c>
      <c r="I21" s="59">
        <f t="shared" si="7"/>
        <v>8</v>
      </c>
      <c r="J21" s="59">
        <f t="shared" si="7"/>
        <v>4</v>
      </c>
      <c r="K21" s="59">
        <f t="shared" si="7"/>
        <v>4</v>
      </c>
      <c r="L21" s="59">
        <f t="shared" si="7"/>
        <v>4</v>
      </c>
      <c r="M21" s="59">
        <f t="shared" si="7"/>
        <v>0</v>
      </c>
      <c r="N21" s="59">
        <f t="shared" si="7"/>
        <v>0</v>
      </c>
      <c r="O21" s="59">
        <f t="shared" si="7"/>
        <v>4</v>
      </c>
      <c r="P21" s="59">
        <f t="shared" si="7"/>
        <v>8</v>
      </c>
      <c r="Q21" s="59">
        <f t="shared" si="7"/>
        <v>8</v>
      </c>
      <c r="R21" s="59">
        <f t="shared" si="7"/>
        <v>0</v>
      </c>
      <c r="S21" s="59">
        <f t="shared" si="7"/>
        <v>0</v>
      </c>
      <c r="T21" s="59">
        <f t="shared" si="7"/>
        <v>0</v>
      </c>
      <c r="U21" s="59">
        <f t="shared" si="7"/>
        <v>0</v>
      </c>
      <c r="V21" s="59">
        <f t="shared" si="7"/>
        <v>0</v>
      </c>
      <c r="W21" s="59">
        <f t="shared" si="7"/>
        <v>8</v>
      </c>
      <c r="X21" s="59">
        <f t="shared" si="7"/>
        <v>4</v>
      </c>
      <c r="Y21" s="59">
        <f t="shared" si="7"/>
        <v>4</v>
      </c>
      <c r="Z21" s="59">
        <f t="shared" si="7"/>
        <v>4</v>
      </c>
      <c r="AA21" s="59">
        <f t="shared" si="7"/>
        <v>0</v>
      </c>
      <c r="AB21" s="59">
        <f t="shared" si="7"/>
        <v>0</v>
      </c>
      <c r="AC21" s="59">
        <f t="shared" si="7"/>
        <v>4</v>
      </c>
      <c r="AD21" s="59">
        <f t="shared" si="7"/>
        <v>4</v>
      </c>
      <c r="AE21" s="59">
        <f t="shared" si="7"/>
        <v>8</v>
      </c>
      <c r="AF21" s="59">
        <f t="shared" si="7"/>
        <v>4</v>
      </c>
      <c r="AG21" s="59">
        <f t="shared" si="7"/>
        <v>0</v>
      </c>
      <c r="AH21" s="59">
        <f t="shared" si="7"/>
        <v>0</v>
      </c>
      <c r="AI21" s="59">
        <f t="shared" si="7"/>
        <v>0</v>
      </c>
      <c r="AJ21" s="59">
        <f t="shared" si="7"/>
        <v>4</v>
      </c>
      <c r="AK21" s="59">
        <f t="shared" si="7"/>
        <v>8</v>
      </c>
      <c r="AL21" s="59">
        <f t="shared" si="7"/>
        <v>0</v>
      </c>
      <c r="AM21" s="59">
        <f t="shared" si="7"/>
        <v>0</v>
      </c>
      <c r="AN21" s="59">
        <f t="shared" si="7"/>
        <v>0</v>
      </c>
      <c r="AO21" s="59">
        <f t="shared" si="7"/>
        <v>0</v>
      </c>
      <c r="AP21" s="59">
        <f t="shared" si="7"/>
        <v>0</v>
      </c>
      <c r="AQ21" s="60">
        <f t="shared" si="5"/>
        <v>92</v>
      </c>
      <c r="AR21" s="57">
        <f>COUNTIF(F21:AP21,"&gt;0")</f>
        <v>17</v>
      </c>
      <c r="AS21" s="5"/>
      <c r="AT21" s="5"/>
    </row>
    <row r="22" spans="1:46" ht="16.5" customHeight="1">
      <c r="A22" s="58"/>
      <c r="B22" s="58"/>
      <c r="C22" s="58"/>
      <c r="D22" s="58"/>
      <c r="E22" s="58" t="s">
        <v>43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60">
        <f t="shared" si="5"/>
        <v>0</v>
      </c>
      <c r="AR22" s="57"/>
      <c r="AS22" s="5"/>
      <c r="AT22" s="5"/>
    </row>
    <row r="23" spans="1:46" ht="16.5" customHeight="1">
      <c r="A23" s="58"/>
      <c r="B23" s="58"/>
      <c r="C23" s="58"/>
      <c r="D23" s="58"/>
      <c r="E23" s="58" t="s">
        <v>44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60">
        <f t="shared" si="5"/>
        <v>0</v>
      </c>
      <c r="AR23" s="57"/>
      <c r="AS23" s="5"/>
      <c r="AT23" s="5"/>
    </row>
    <row r="24" spans="1:46" ht="15.75" customHeight="1">
      <c r="A24" s="69" t="s">
        <v>45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5"/>
      <c r="AR24" s="5"/>
      <c r="AS24" s="5"/>
      <c r="AT24" s="5"/>
    </row>
    <row r="25" spans="1:46" ht="15.75" customHeight="1">
      <c r="A25" s="31"/>
      <c r="B25" s="31"/>
      <c r="C25" s="31"/>
      <c r="D25" s="31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5"/>
      <c r="AR25" s="5"/>
      <c r="AS25" s="5"/>
      <c r="AT25" s="5"/>
    </row>
    <row r="26" spans="1:46" ht="24" customHeight="1">
      <c r="A26" s="32"/>
      <c r="B26" s="32"/>
      <c r="C26" s="32"/>
      <c r="D26" s="32"/>
      <c r="E26" s="32"/>
      <c r="F26" s="70"/>
      <c r="G26" s="77"/>
      <c r="H26" s="77"/>
      <c r="I26" s="7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spans="1:46" ht="15.75" customHeight="1">
      <c r="A27" s="71" t="s">
        <v>46</v>
      </c>
      <c r="B27" s="78"/>
      <c r="C27" s="78"/>
      <c r="D27" s="78"/>
      <c r="E27" s="78"/>
      <c r="F27" s="71" t="s">
        <v>47</v>
      </c>
      <c r="G27" s="78"/>
      <c r="H27" s="78"/>
      <c r="I27" s="78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</row>
    <row r="28" spans="1:46" ht="26.25" customHeight="1">
      <c r="A28" s="32"/>
      <c r="B28" s="32"/>
      <c r="C28" s="32"/>
      <c r="D28" s="32"/>
      <c r="E28" s="32"/>
      <c r="F28" s="70"/>
      <c r="G28" s="77"/>
      <c r="H28" s="77"/>
      <c r="I28" s="7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spans="1:46" ht="15.75" customHeight="1">
      <c r="A29" s="71" t="s">
        <v>48</v>
      </c>
      <c r="B29" s="78"/>
      <c r="C29" s="78"/>
      <c r="D29" s="78"/>
      <c r="E29" s="78"/>
      <c r="F29" s="71" t="s">
        <v>47</v>
      </c>
      <c r="G29" s="78"/>
      <c r="H29" s="78"/>
      <c r="I29" s="78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spans="1:46" ht="15.75" customHeight="1">
      <c r="A30" s="72" t="s">
        <v>49</v>
      </c>
      <c r="B30" s="77"/>
      <c r="C30" s="77"/>
      <c r="D30" s="77"/>
      <c r="E30" s="77"/>
      <c r="F30" s="77"/>
      <c r="G30" s="7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 spans="1:46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spans="1:46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</row>
    <row r="33" spans="1:46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spans="1:46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</row>
    <row r="35" spans="1:46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 spans="1:4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</row>
    <row r="37" spans="1:46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 spans="1:46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</row>
    <row r="39" spans="1:46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</row>
    <row r="40" spans="1:46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spans="1:46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</row>
    <row r="42" spans="1:46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</row>
    <row r="43" spans="1:46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spans="1:46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</row>
    <row r="45" spans="1:46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 spans="1: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</row>
    <row r="47" spans="1:46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 spans="1:46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</row>
    <row r="49" spans="1:46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</row>
    <row r="50" spans="1:46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 spans="1:46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</row>
    <row r="52" spans="1:46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 spans="1:46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</row>
    <row r="54" spans="1:46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 spans="1:46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</row>
    <row r="56" spans="1:4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</row>
    <row r="57" spans="1:46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</row>
    <row r="58" spans="1:46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</row>
    <row r="59" spans="1:46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</row>
    <row r="60" spans="1:46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 spans="1:46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</row>
    <row r="62" spans="1:46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 spans="1:46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</row>
    <row r="64" spans="1:46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spans="1:46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</row>
    <row r="66" spans="1:4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spans="1:46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</row>
    <row r="68" spans="1:46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 spans="1:46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</row>
    <row r="70" spans="1:46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</row>
    <row r="71" spans="1:46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spans="1:46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</row>
    <row r="73" spans="1:46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spans="1:46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</row>
    <row r="75" spans="1:46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</row>
    <row r="76" spans="1:4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</row>
    <row r="77" spans="1:46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</row>
    <row r="78" spans="1:46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spans="1:46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</row>
    <row r="80" spans="1:46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spans="1:46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</row>
    <row r="82" spans="1:46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spans="1:46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</row>
    <row r="84" spans="1:46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</row>
    <row r="85" spans="1:46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 spans="1:4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</row>
    <row r="87" spans="1:46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</row>
    <row r="88" spans="1:46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</row>
    <row r="89" spans="1:46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</row>
    <row r="90" spans="1:46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</row>
    <row r="91" spans="1:46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</row>
    <row r="92" spans="1:46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 spans="1:46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</row>
    <row r="94" spans="1:46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 spans="1:46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</row>
    <row r="96" spans="1:4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 spans="1:46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</row>
    <row r="98" spans="1:46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 spans="1:46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</row>
    <row r="100" spans="1:46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</row>
    <row r="101" spans="1:46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spans="1:46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</row>
    <row r="103" spans="1:46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r="104" spans="1:46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 spans="1:46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r="106" spans="1:4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 spans="1:46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r="108" spans="1:46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 spans="1:46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</row>
    <row r="110" spans="1:46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r="111" spans="1:46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 spans="1:46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r="113" spans="1:46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</row>
    <row r="114" spans="1:46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spans="1:46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</row>
    <row r="116" spans="1:4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spans="1:46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</row>
    <row r="118" spans="1:46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spans="1:46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</row>
    <row r="120" spans="1:46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</row>
    <row r="121" spans="1:46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r="122" spans="1:46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</row>
    <row r="123" spans="1:46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spans="1:46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</row>
    <row r="125" spans="1:46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r="126" spans="1:4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  <row r="127" spans="1:46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</row>
    <row r="128" spans="1:46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spans="1:46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</row>
    <row r="130" spans="1:46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spans="1:46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</row>
    <row r="132" spans="1:46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</row>
    <row r="133" spans="1:46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</row>
    <row r="134" spans="1:46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</row>
    <row r="135" spans="1:46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</row>
    <row r="136" spans="1:4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</row>
    <row r="137" spans="1:46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</row>
    <row r="138" spans="1:46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</row>
    <row r="139" spans="1:46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</row>
    <row r="140" spans="1:46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</row>
    <row r="141" spans="1:46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 spans="1:46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</row>
    <row r="143" spans="1:46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 spans="1:46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</row>
    <row r="145" spans="1:46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</row>
    <row r="146" spans="1: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</row>
    <row r="147" spans="1:46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</row>
    <row r="148" spans="1:46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</row>
    <row r="149" spans="1:46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</row>
    <row r="150" spans="1:46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</row>
    <row r="151" spans="1:46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spans="1:46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</row>
    <row r="153" spans="1:46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</row>
    <row r="154" spans="1:46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</row>
    <row r="155" spans="1:46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</row>
    <row r="156" spans="1:4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</row>
    <row r="157" spans="1:46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</row>
    <row r="158" spans="1:46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</row>
    <row r="159" spans="1:46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</row>
    <row r="160" spans="1:46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</row>
    <row r="161" spans="1:46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</row>
    <row r="162" spans="1:46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</row>
    <row r="163" spans="1:46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</row>
    <row r="164" spans="1:46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</row>
    <row r="165" spans="1:46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</row>
    <row r="166" spans="1:4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</row>
    <row r="167" spans="1:46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 spans="1:46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</row>
    <row r="169" spans="1:46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</row>
    <row r="170" spans="1:46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</row>
    <row r="171" spans="1:46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</row>
    <row r="172" spans="1:46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</row>
    <row r="173" spans="1:46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</row>
    <row r="174" spans="1:46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</row>
    <row r="175" spans="1:46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</row>
    <row r="176" spans="1:4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 spans="1:46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</row>
    <row r="178" spans="1:46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spans="1:46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</row>
    <row r="180" spans="1:46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</row>
    <row r="181" spans="1:46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 spans="1:46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</row>
    <row r="183" spans="1:46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 spans="1:46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</row>
    <row r="185" spans="1:46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spans="1:4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</row>
    <row r="187" spans="1:46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</row>
    <row r="188" spans="1:46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</row>
    <row r="189" spans="1:46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</row>
    <row r="190" spans="1:46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spans="1:46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</row>
    <row r="192" spans="1:46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</row>
    <row r="193" spans="1:46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</row>
    <row r="194" spans="1:46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</row>
    <row r="195" spans="1:46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</row>
    <row r="196" spans="1:4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</row>
    <row r="197" spans="1:46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</row>
    <row r="198" spans="1:46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</row>
    <row r="199" spans="1:46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</row>
    <row r="200" spans="1:46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</row>
    <row r="201" spans="1:46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</row>
    <row r="202" spans="1:46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</row>
    <row r="203" spans="1:46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</row>
    <row r="204" spans="1:46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</row>
    <row r="205" spans="1:46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</row>
    <row r="206" spans="1:4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</row>
    <row r="207" spans="1:46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</row>
    <row r="208" spans="1:46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</row>
    <row r="209" spans="1:46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</row>
    <row r="210" spans="1:46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</row>
    <row r="211" spans="1:46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</row>
    <row r="212" spans="1:46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</row>
    <row r="213" spans="1:46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 spans="1:46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</row>
    <row r="215" spans="1:46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</row>
    <row r="216" spans="1:4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</row>
    <row r="217" spans="1:46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 spans="1:46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</row>
    <row r="219" spans="1:46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 spans="1:46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</row>
    <row r="221" spans="1:46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</row>
    <row r="222" spans="1:46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</row>
    <row r="223" spans="1:46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</row>
    <row r="224" spans="1:46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</row>
    <row r="225" spans="1:46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 spans="1:4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</row>
    <row r="227" spans="1:46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 spans="1:46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</row>
    <row r="229" spans="1:46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 spans="1:46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</row>
    <row r="231" spans="1:46" ht="15.75" customHeight="1"/>
    <row r="232" spans="1:46" ht="15.75" customHeight="1"/>
    <row r="233" spans="1:46" ht="15.75" customHeight="1"/>
    <row r="234" spans="1:46" ht="15.75" customHeight="1"/>
    <row r="235" spans="1:46" ht="15.75" customHeight="1"/>
    <row r="236" spans="1:46" ht="15.75" customHeight="1"/>
    <row r="237" spans="1:46" ht="15.75" customHeight="1"/>
    <row r="238" spans="1:46" ht="15.75" customHeight="1"/>
    <row r="239" spans="1:46" ht="15.75" customHeight="1"/>
    <row r="240" spans="1:4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28:I28"/>
    <mergeCell ref="A29:E29"/>
    <mergeCell ref="F29:I29"/>
    <mergeCell ref="A30:G30"/>
    <mergeCell ref="F26:I26"/>
    <mergeCell ref="A27:E27"/>
    <mergeCell ref="F27:I27"/>
    <mergeCell ref="E5:H5"/>
    <mergeCell ref="E7:G7"/>
    <mergeCell ref="E8:G8"/>
    <mergeCell ref="A21:E21"/>
    <mergeCell ref="A24:AP24"/>
  </mergeCells>
  <conditionalFormatting sqref="F13:AP23">
    <cfRule type="expression" dxfId="0" priority="1">
      <formula>WEEKDAY(F$11,1)=$F$8</formula>
    </cfRule>
  </conditionalFormatting>
  <dataValidations count="1">
    <dataValidation type="list" allowBlank="1" showErrorMessage="1" sqref="B13:B20" xr:uid="{00000000-0002-0000-0100-000001000000}">
      <formula1>"Hà Nội,Hồ Chí Minh"</formula1>
    </dataValidation>
  </dataValidations>
  <printOptions horizontalCentered="1"/>
  <pageMargins left="0.35" right="0.35" top="0.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Data!$C$2:$C990</xm:f>
          </x14:formula1>
          <xm:sqref>E13:E20</xm:sqref>
        </x14:dataValidation>
        <x14:dataValidation type="list" allowBlank="1" xr:uid="{00000000-0002-0000-0100-000002000000}">
          <x14:formula1>
            <xm:f>Data!$A$2:$A$19</xm:f>
          </x14:formula1>
          <xm:sqref>C13:C20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4.5703125" customWidth="1"/>
    <col min="2" max="2" width="35" customWidth="1"/>
    <col min="3" max="3" width="56" customWidth="1"/>
    <col min="4" max="6" width="14.42578125" customWidth="1"/>
  </cols>
  <sheetData>
    <row r="1" spans="1:3" ht="15.6">
      <c r="A1" s="61" t="s">
        <v>34</v>
      </c>
      <c r="B1" s="61" t="s">
        <v>50</v>
      </c>
      <c r="C1" s="62" t="s">
        <v>36</v>
      </c>
    </row>
    <row r="2" spans="1:3" ht="18" customHeight="1">
      <c r="A2" s="63" t="s">
        <v>51</v>
      </c>
      <c r="B2" s="64" t="s">
        <v>52</v>
      </c>
      <c r="C2" s="65" t="s">
        <v>53</v>
      </c>
    </row>
    <row r="3" spans="1:3" ht="18" customHeight="1">
      <c r="A3" s="63" t="s">
        <v>54</v>
      </c>
      <c r="B3" s="63" t="s">
        <v>55</v>
      </c>
      <c r="C3" s="65" t="s">
        <v>56</v>
      </c>
    </row>
    <row r="4" spans="1:3" ht="18" customHeight="1">
      <c r="A4" s="63" t="s">
        <v>57</v>
      </c>
      <c r="B4" s="63" t="s">
        <v>58</v>
      </c>
      <c r="C4" s="65" t="s">
        <v>59</v>
      </c>
    </row>
    <row r="5" spans="1:3" ht="18" customHeight="1">
      <c r="A5" s="63" t="s">
        <v>60</v>
      </c>
      <c r="B5" s="63" t="s">
        <v>58</v>
      </c>
      <c r="C5" s="65" t="s">
        <v>61</v>
      </c>
    </row>
    <row r="6" spans="1:3" ht="18" customHeight="1">
      <c r="A6" s="63" t="s">
        <v>62</v>
      </c>
      <c r="B6" s="63" t="s">
        <v>63</v>
      </c>
      <c r="C6" s="65" t="s">
        <v>64</v>
      </c>
    </row>
    <row r="7" spans="1:3" ht="18" customHeight="1">
      <c r="A7" s="63" t="s">
        <v>65</v>
      </c>
      <c r="B7" s="63" t="s">
        <v>66</v>
      </c>
      <c r="C7" s="65" t="s">
        <v>67</v>
      </c>
    </row>
    <row r="8" spans="1:3" ht="18" customHeight="1">
      <c r="A8" s="63" t="s">
        <v>68</v>
      </c>
      <c r="B8" s="63" t="s">
        <v>68</v>
      </c>
      <c r="C8" s="65" t="s">
        <v>69</v>
      </c>
    </row>
    <row r="9" spans="1:3" ht="18" customHeight="1">
      <c r="A9" s="63" t="s">
        <v>70</v>
      </c>
      <c r="B9" s="63" t="s">
        <v>71</v>
      </c>
      <c r="C9" s="65" t="s">
        <v>72</v>
      </c>
    </row>
    <row r="10" spans="1:3" ht="18" customHeight="1">
      <c r="A10" s="63" t="s">
        <v>73</v>
      </c>
      <c r="B10" s="63" t="s">
        <v>74</v>
      </c>
      <c r="C10" s="65" t="s">
        <v>75</v>
      </c>
    </row>
    <row r="11" spans="1:3" ht="18" customHeight="1">
      <c r="A11" s="63" t="s">
        <v>76</v>
      </c>
      <c r="B11" s="63" t="s">
        <v>77</v>
      </c>
      <c r="C11" s="65" t="s">
        <v>78</v>
      </c>
    </row>
    <row r="12" spans="1:3" ht="18" customHeight="1">
      <c r="A12" s="63" t="s">
        <v>79</v>
      </c>
      <c r="B12" s="63" t="s">
        <v>80</v>
      </c>
      <c r="C12" s="65" t="s">
        <v>81</v>
      </c>
    </row>
    <row r="13" spans="1:3" ht="18" customHeight="1">
      <c r="A13" s="63" t="s">
        <v>82</v>
      </c>
      <c r="B13" s="63" t="s">
        <v>80</v>
      </c>
      <c r="C13" s="65" t="s">
        <v>83</v>
      </c>
    </row>
    <row r="14" spans="1:3" ht="18" customHeight="1">
      <c r="A14" s="63" t="s">
        <v>84</v>
      </c>
      <c r="B14" s="63" t="s">
        <v>80</v>
      </c>
      <c r="C14" s="65" t="s">
        <v>85</v>
      </c>
    </row>
    <row r="15" spans="1:3" ht="18" customHeight="1">
      <c r="A15" s="63" t="s">
        <v>86</v>
      </c>
      <c r="B15" s="63" t="s">
        <v>80</v>
      </c>
      <c r="C15" s="65" t="s">
        <v>87</v>
      </c>
    </row>
    <row r="16" spans="1:3" ht="18" customHeight="1">
      <c r="A16" s="63" t="s">
        <v>88</v>
      </c>
      <c r="B16" s="63" t="s">
        <v>89</v>
      </c>
      <c r="C16" s="65" t="s">
        <v>90</v>
      </c>
    </row>
    <row r="17" spans="1:3" ht="18" customHeight="1">
      <c r="A17" s="63" t="s">
        <v>91</v>
      </c>
      <c r="B17" s="63" t="s">
        <v>92</v>
      </c>
      <c r="C17" s="65" t="s">
        <v>93</v>
      </c>
    </row>
    <row r="18" spans="1:3" ht="18" customHeight="1">
      <c r="A18" s="63" t="s">
        <v>41</v>
      </c>
      <c r="B18" s="63" t="s">
        <v>94</v>
      </c>
      <c r="C18" s="65" t="s">
        <v>95</v>
      </c>
    </row>
    <row r="19" spans="1:3" ht="18" customHeight="1">
      <c r="A19" s="63" t="s">
        <v>96</v>
      </c>
      <c r="B19" s="63" t="s">
        <v>97</v>
      </c>
      <c r="C19" s="65" t="s">
        <v>98</v>
      </c>
    </row>
    <row r="20" spans="1:3" ht="46.5">
      <c r="A20" s="63"/>
      <c r="B20" s="63"/>
      <c r="C20" s="65" t="s">
        <v>99</v>
      </c>
    </row>
    <row r="21" spans="1:3" ht="15.75" customHeight="1">
      <c r="A21" s="63"/>
      <c r="B21" s="63"/>
      <c r="C21" s="65" t="s">
        <v>100</v>
      </c>
    </row>
    <row r="22" spans="1:3" ht="15.75" customHeight="1">
      <c r="A22" s="63"/>
      <c r="B22" s="63"/>
      <c r="C22" s="65" t="s">
        <v>101</v>
      </c>
    </row>
    <row r="23" spans="1:3" ht="15.75" customHeight="1">
      <c r="A23" s="63"/>
      <c r="B23" s="63"/>
      <c r="C23" s="65" t="s">
        <v>102</v>
      </c>
    </row>
    <row r="24" spans="1:3" ht="15.75" customHeight="1">
      <c r="A24" s="63"/>
      <c r="B24" s="63"/>
      <c r="C24" s="65" t="s">
        <v>103</v>
      </c>
    </row>
    <row r="25" spans="1:3" ht="15.75" customHeight="1">
      <c r="A25" s="63"/>
      <c r="B25" s="63"/>
      <c r="C25" s="65" t="s">
        <v>104</v>
      </c>
    </row>
    <row r="26" spans="1:3" ht="15.75" customHeight="1">
      <c r="A26" s="63"/>
      <c r="B26" s="63"/>
      <c r="C26" s="65" t="s">
        <v>105</v>
      </c>
    </row>
    <row r="27" spans="1:3" ht="15.75" customHeight="1">
      <c r="A27" s="63"/>
      <c r="B27" s="63"/>
      <c r="C27" s="65" t="s">
        <v>106</v>
      </c>
    </row>
    <row r="28" spans="1:3" ht="15.75" customHeight="1">
      <c r="A28" s="63"/>
      <c r="B28" s="63"/>
      <c r="C28" s="65" t="s">
        <v>107</v>
      </c>
    </row>
    <row r="29" spans="1:3" ht="15.75" customHeight="1">
      <c r="A29" s="63"/>
      <c r="B29" s="63"/>
      <c r="C29" s="65" t="s">
        <v>108</v>
      </c>
    </row>
    <row r="30" spans="1:3" ht="15.75" customHeight="1">
      <c r="A30" s="63"/>
      <c r="B30" s="63"/>
      <c r="C30" s="65" t="s">
        <v>109</v>
      </c>
    </row>
    <row r="31" spans="1:3" ht="15.75" customHeight="1">
      <c r="A31" s="63"/>
      <c r="B31" s="63"/>
      <c r="C31" s="65" t="s">
        <v>110</v>
      </c>
    </row>
    <row r="32" spans="1:3" ht="15.75" customHeight="1">
      <c r="A32" s="63"/>
      <c r="B32" s="63"/>
      <c r="C32" s="65" t="s">
        <v>111</v>
      </c>
    </row>
    <row r="33" spans="1:3" ht="15.75" customHeight="1">
      <c r="A33" s="63"/>
      <c r="B33" s="63"/>
      <c r="C33" s="65" t="s">
        <v>112</v>
      </c>
    </row>
    <row r="34" spans="1:3" ht="15.75" customHeight="1">
      <c r="A34" s="63"/>
      <c r="B34" s="63"/>
      <c r="C34" s="65" t="s">
        <v>113</v>
      </c>
    </row>
    <row r="35" spans="1:3" ht="15.75" customHeight="1">
      <c r="A35" s="63"/>
      <c r="B35" s="63"/>
      <c r="C35" s="65" t="s">
        <v>114</v>
      </c>
    </row>
    <row r="36" spans="1:3" ht="15.75" customHeight="1">
      <c r="A36" s="63"/>
      <c r="B36" s="63"/>
      <c r="C36" s="65" t="s">
        <v>115</v>
      </c>
    </row>
    <row r="37" spans="1:3" ht="15.75" customHeight="1">
      <c r="A37" s="63"/>
      <c r="B37" s="63"/>
      <c r="C37" s="65" t="s">
        <v>116</v>
      </c>
    </row>
    <row r="38" spans="1:3" ht="15.75" customHeight="1">
      <c r="A38" s="63"/>
      <c r="B38" s="63"/>
      <c r="C38" s="65" t="s">
        <v>117</v>
      </c>
    </row>
    <row r="39" spans="1:3" ht="15.75" customHeight="1">
      <c r="A39" s="63"/>
      <c r="B39" s="63"/>
      <c r="C39" s="65" t="s">
        <v>118</v>
      </c>
    </row>
    <row r="40" spans="1:3" ht="15.75" customHeight="1">
      <c r="A40" s="63"/>
      <c r="B40" s="63"/>
      <c r="C40" s="65" t="s">
        <v>119</v>
      </c>
    </row>
    <row r="41" spans="1:3" ht="15.75" customHeight="1">
      <c r="A41" s="63"/>
      <c r="B41" s="63"/>
      <c r="C41" s="65" t="s">
        <v>120</v>
      </c>
    </row>
    <row r="42" spans="1:3" ht="15.75" customHeight="1">
      <c r="A42" s="63"/>
      <c r="B42" s="63"/>
      <c r="C42" s="65" t="s">
        <v>121</v>
      </c>
    </row>
    <row r="43" spans="1:3" ht="15.75" customHeight="1">
      <c r="A43" s="63"/>
      <c r="B43" s="63"/>
      <c r="C43" s="65" t="s">
        <v>122</v>
      </c>
    </row>
    <row r="44" spans="1:3" ht="15.75" customHeight="1">
      <c r="A44" s="63"/>
      <c r="B44" s="63"/>
      <c r="C44" s="65" t="s">
        <v>123</v>
      </c>
    </row>
    <row r="45" spans="1:3" ht="15.75" customHeight="1">
      <c r="A45" s="63"/>
      <c r="B45" s="63"/>
      <c r="C45" s="65" t="s">
        <v>124</v>
      </c>
    </row>
    <row r="46" spans="1:3" ht="15.75" customHeight="1">
      <c r="A46" s="63"/>
      <c r="B46" s="63"/>
      <c r="C46" s="65" t="s">
        <v>125</v>
      </c>
    </row>
    <row r="47" spans="1:3" ht="15.75" customHeight="1">
      <c r="A47" s="63"/>
      <c r="B47" s="63"/>
      <c r="C47" s="65" t="s">
        <v>126</v>
      </c>
    </row>
    <row r="48" spans="1:3" ht="15.75" customHeight="1">
      <c r="A48" s="63"/>
      <c r="B48" s="63"/>
      <c r="C48" s="65" t="s">
        <v>127</v>
      </c>
    </row>
    <row r="49" spans="1:3" ht="15.75" customHeight="1">
      <c r="A49" s="63"/>
      <c r="B49" s="63"/>
      <c r="C49" s="65" t="s">
        <v>128</v>
      </c>
    </row>
    <row r="50" spans="1:3" ht="15.75" customHeight="1">
      <c r="A50" s="63"/>
      <c r="B50" s="63"/>
      <c r="C50" s="65" t="s">
        <v>129</v>
      </c>
    </row>
    <row r="51" spans="1:3" ht="15.75" customHeight="1">
      <c r="A51" s="63"/>
      <c r="B51" s="63"/>
      <c r="C51" s="65" t="s">
        <v>130</v>
      </c>
    </row>
    <row r="52" spans="1:3" ht="15.75" customHeight="1">
      <c r="A52" s="63"/>
      <c r="B52" s="63"/>
      <c r="C52" s="65" t="s">
        <v>131</v>
      </c>
    </row>
    <row r="53" spans="1:3" ht="15.75" customHeight="1">
      <c r="A53" s="63"/>
      <c r="B53" s="63"/>
      <c r="C53" s="65" t="s">
        <v>132</v>
      </c>
    </row>
    <row r="54" spans="1:3" ht="15.75" customHeight="1">
      <c r="A54" s="63"/>
      <c r="B54" s="63"/>
      <c r="C54" s="65" t="s">
        <v>133</v>
      </c>
    </row>
    <row r="55" spans="1:3" ht="15.75" customHeight="1">
      <c r="A55" s="63"/>
      <c r="B55" s="63"/>
      <c r="C55" s="65" t="s">
        <v>134</v>
      </c>
    </row>
    <row r="56" spans="1:3" ht="15.75" customHeight="1">
      <c r="A56" s="63"/>
      <c r="B56" s="63"/>
      <c r="C56" s="65" t="s">
        <v>135</v>
      </c>
    </row>
    <row r="57" spans="1:3" ht="15.75" customHeight="1">
      <c r="A57" s="63"/>
      <c r="B57" s="63"/>
      <c r="C57" s="65" t="s">
        <v>136</v>
      </c>
    </row>
    <row r="58" spans="1:3" ht="15.75" customHeight="1">
      <c r="A58" s="63"/>
      <c r="B58" s="63"/>
      <c r="C58" s="65" t="s">
        <v>137</v>
      </c>
    </row>
    <row r="59" spans="1:3" ht="15.75" customHeight="1">
      <c r="A59" s="63"/>
      <c r="B59" s="63"/>
      <c r="C59" s="65" t="s">
        <v>138</v>
      </c>
    </row>
    <row r="60" spans="1:3" ht="15.75" customHeight="1">
      <c r="A60" s="63"/>
      <c r="B60" s="63"/>
      <c r="C60" s="65" t="s">
        <v>139</v>
      </c>
    </row>
    <row r="61" spans="1:3" ht="15.75" customHeight="1">
      <c r="A61" s="63"/>
      <c r="B61" s="63"/>
      <c r="C61" s="65" t="s">
        <v>140</v>
      </c>
    </row>
    <row r="62" spans="1:3" ht="15.75" customHeight="1">
      <c r="A62" s="63"/>
      <c r="B62" s="63"/>
      <c r="C62" s="65" t="s">
        <v>141</v>
      </c>
    </row>
    <row r="63" spans="1:3" ht="15.75" customHeight="1">
      <c r="A63" s="63"/>
      <c r="B63" s="63"/>
      <c r="C63" s="65" t="s">
        <v>142</v>
      </c>
    </row>
    <row r="64" spans="1:3" ht="15.75" customHeight="1">
      <c r="A64" s="63"/>
      <c r="B64" s="63"/>
      <c r="C64" s="65" t="s">
        <v>143</v>
      </c>
    </row>
    <row r="65" spans="1:3" ht="15.75" customHeight="1">
      <c r="A65" s="63"/>
      <c r="B65" s="63"/>
      <c r="C65" s="65" t="s">
        <v>144</v>
      </c>
    </row>
    <row r="66" spans="1:3" ht="15.75" customHeight="1">
      <c r="A66" s="63"/>
      <c r="B66" s="63"/>
      <c r="C66" s="65" t="s">
        <v>145</v>
      </c>
    </row>
    <row r="67" spans="1:3" ht="15.75" customHeight="1">
      <c r="A67" s="63"/>
      <c r="B67" s="63"/>
      <c r="C67" s="65" t="s">
        <v>146</v>
      </c>
    </row>
    <row r="68" spans="1:3" ht="15.75" customHeight="1">
      <c r="A68" s="63"/>
      <c r="B68" s="63"/>
      <c r="C68" s="65" t="s">
        <v>147</v>
      </c>
    </row>
    <row r="69" spans="1:3" ht="15.75" customHeight="1">
      <c r="A69" s="63"/>
      <c r="B69" s="63"/>
      <c r="C69" s="65" t="s">
        <v>148</v>
      </c>
    </row>
    <row r="70" spans="1:3" ht="15.75" customHeight="1">
      <c r="A70" s="63"/>
      <c r="B70" s="63"/>
      <c r="C70" s="65" t="s">
        <v>149</v>
      </c>
    </row>
    <row r="71" spans="1:3" ht="15.75" customHeight="1">
      <c r="A71" s="63"/>
      <c r="B71" s="63"/>
      <c r="C71" s="65" t="s">
        <v>150</v>
      </c>
    </row>
    <row r="72" spans="1:3" ht="15.75" customHeight="1">
      <c r="A72" s="63"/>
      <c r="B72" s="63"/>
      <c r="C72" s="65" t="s">
        <v>151</v>
      </c>
    </row>
    <row r="73" spans="1:3" ht="15.75" customHeight="1">
      <c r="A73" s="63"/>
      <c r="B73" s="63"/>
      <c r="C73" s="65" t="s">
        <v>152</v>
      </c>
    </row>
    <row r="74" spans="1:3" ht="15.75" customHeight="1">
      <c r="A74" s="63"/>
      <c r="B74" s="63"/>
      <c r="C74" s="65" t="s">
        <v>153</v>
      </c>
    </row>
    <row r="75" spans="1:3" ht="15.75" customHeight="1">
      <c r="A75" s="63"/>
      <c r="B75" s="63"/>
      <c r="C75" s="65" t="s">
        <v>154</v>
      </c>
    </row>
    <row r="76" spans="1:3" ht="15.75" customHeight="1">
      <c r="A76" s="63"/>
      <c r="B76" s="63"/>
      <c r="C76" s="65" t="s">
        <v>155</v>
      </c>
    </row>
    <row r="77" spans="1:3" ht="15.75" customHeight="1">
      <c r="A77" s="63"/>
      <c r="B77" s="63"/>
      <c r="C77" s="65" t="s">
        <v>156</v>
      </c>
    </row>
    <row r="78" spans="1:3" ht="15.75" customHeight="1">
      <c r="A78" s="63"/>
      <c r="B78" s="63"/>
      <c r="C78" s="65" t="s">
        <v>157</v>
      </c>
    </row>
    <row r="79" spans="1:3" ht="15.75" customHeight="1">
      <c r="A79" s="63"/>
      <c r="B79" s="63"/>
      <c r="C79" s="65" t="s">
        <v>158</v>
      </c>
    </row>
    <row r="80" spans="1:3" ht="15.75" customHeight="1">
      <c r="A80" s="63"/>
      <c r="B80" s="63"/>
      <c r="C80" s="65" t="s">
        <v>159</v>
      </c>
    </row>
    <row r="81" spans="1:3" ht="15.75" customHeight="1">
      <c r="A81" s="63"/>
      <c r="B81" s="63"/>
      <c r="C81" s="65" t="s">
        <v>160</v>
      </c>
    </row>
    <row r="82" spans="1:3" ht="15.75" customHeight="1">
      <c r="A82" s="63"/>
      <c r="B82" s="63"/>
      <c r="C82" s="65" t="s">
        <v>161</v>
      </c>
    </row>
    <row r="83" spans="1:3" ht="15.75" customHeight="1">
      <c r="A83" s="63"/>
      <c r="B83" s="63"/>
      <c r="C83" s="65" t="s">
        <v>162</v>
      </c>
    </row>
    <row r="84" spans="1:3" ht="15.75" customHeight="1">
      <c r="A84" s="63"/>
      <c r="B84" s="63"/>
      <c r="C84" s="65" t="s">
        <v>163</v>
      </c>
    </row>
    <row r="85" spans="1:3" ht="15.75" customHeight="1">
      <c r="A85" s="63"/>
      <c r="B85" s="63"/>
      <c r="C85" s="65" t="s">
        <v>164</v>
      </c>
    </row>
    <row r="86" spans="1:3" ht="15.75" customHeight="1">
      <c r="A86" s="63"/>
      <c r="B86" s="63"/>
      <c r="C86" s="65" t="s">
        <v>165</v>
      </c>
    </row>
    <row r="87" spans="1:3" ht="15.75" customHeight="1">
      <c r="A87" s="63"/>
      <c r="B87" s="63"/>
      <c r="C87" s="65"/>
    </row>
    <row r="88" spans="1:3" ht="15.75" customHeight="1">
      <c r="A88" s="63"/>
      <c r="B88" s="63"/>
      <c r="C88" s="65"/>
    </row>
    <row r="89" spans="1:3" ht="15.75" customHeight="1">
      <c r="A89" s="63"/>
      <c r="B89" s="63"/>
      <c r="C89" s="65"/>
    </row>
    <row r="90" spans="1:3" ht="15.75" customHeight="1">
      <c r="A90" s="63"/>
      <c r="B90" s="63"/>
      <c r="C90" s="65"/>
    </row>
    <row r="91" spans="1:3" ht="15.75" customHeight="1">
      <c r="A91" s="63"/>
      <c r="B91" s="63"/>
      <c r="C91" s="65"/>
    </row>
    <row r="92" spans="1:3" ht="15.75" customHeight="1">
      <c r="A92" s="63"/>
      <c r="B92" s="63"/>
      <c r="C92" s="65"/>
    </row>
    <row r="93" spans="1:3" ht="15.75" customHeight="1">
      <c r="A93" s="63"/>
      <c r="B93" s="63"/>
      <c r="C93" s="65"/>
    </row>
    <row r="94" spans="1:3" ht="15.75" customHeight="1">
      <c r="A94" s="63"/>
      <c r="B94" s="63"/>
      <c r="C94" s="65"/>
    </row>
    <row r="95" spans="1:3" ht="15.75" customHeight="1">
      <c r="A95" s="63"/>
      <c r="B95" s="63"/>
      <c r="C95" s="65"/>
    </row>
    <row r="96" spans="1:3" ht="15.75" customHeight="1">
      <c r="A96" s="63"/>
      <c r="B96" s="63"/>
      <c r="C96" s="65"/>
    </row>
    <row r="97" spans="1:3" ht="15.75" customHeight="1">
      <c r="A97" s="63"/>
      <c r="B97" s="63"/>
      <c r="C97" s="65"/>
    </row>
    <row r="98" spans="1:3" ht="15.75" customHeight="1">
      <c r="A98" s="63"/>
      <c r="B98" s="63"/>
      <c r="C98" s="65"/>
    </row>
    <row r="99" spans="1:3" ht="15.75" customHeight="1">
      <c r="A99" s="63"/>
      <c r="B99" s="63"/>
      <c r="C99" s="65"/>
    </row>
    <row r="100" spans="1:3" ht="15.75" customHeight="1">
      <c r="A100" s="63"/>
      <c r="B100" s="63"/>
      <c r="C100" s="65"/>
    </row>
    <row r="101" spans="1:3" ht="15.75" customHeight="1">
      <c r="A101" s="63"/>
      <c r="B101" s="63"/>
      <c r="C101" s="65"/>
    </row>
    <row r="102" spans="1:3" ht="15.75" customHeight="1">
      <c r="A102" s="63"/>
      <c r="B102" s="63"/>
      <c r="C102" s="65"/>
    </row>
    <row r="103" spans="1:3" ht="15.75" customHeight="1">
      <c r="A103" s="63"/>
      <c r="B103" s="63"/>
      <c r="C103" s="65"/>
    </row>
    <row r="104" spans="1:3" ht="15.75" customHeight="1">
      <c r="A104" s="63"/>
      <c r="B104" s="63"/>
      <c r="C104" s="65"/>
    </row>
    <row r="105" spans="1:3" ht="15.75" customHeight="1">
      <c r="A105" s="63"/>
      <c r="B105" s="63"/>
      <c r="C105" s="65"/>
    </row>
    <row r="106" spans="1:3" ht="15.75" customHeight="1">
      <c r="A106" s="63"/>
      <c r="B106" s="63"/>
      <c r="C106" s="65"/>
    </row>
    <row r="107" spans="1:3" ht="15.75" customHeight="1">
      <c r="A107" s="63"/>
      <c r="B107" s="63"/>
      <c r="C107" s="65"/>
    </row>
    <row r="108" spans="1:3" ht="15.75" customHeight="1">
      <c r="A108" s="63"/>
      <c r="B108" s="63"/>
      <c r="C108" s="65"/>
    </row>
    <row r="109" spans="1:3" ht="15.75" customHeight="1">
      <c r="A109" s="63"/>
      <c r="B109" s="63"/>
      <c r="C109" s="65"/>
    </row>
    <row r="110" spans="1:3" ht="15.75" customHeight="1">
      <c r="A110" s="63"/>
      <c r="B110" s="63"/>
      <c r="C110" s="65"/>
    </row>
    <row r="111" spans="1:3" ht="15.75" customHeight="1">
      <c r="A111" s="63"/>
      <c r="B111" s="63"/>
      <c r="C111" s="65"/>
    </row>
    <row r="112" spans="1:3" ht="15.75" customHeight="1">
      <c r="A112" s="63"/>
      <c r="B112" s="63"/>
      <c r="C112" s="65"/>
    </row>
    <row r="113" spans="1:3" ht="15.75" customHeight="1">
      <c r="A113" s="63"/>
      <c r="B113" s="63"/>
      <c r="C113" s="65"/>
    </row>
    <row r="114" spans="1:3" ht="15.75" customHeight="1">
      <c r="A114" s="63"/>
      <c r="B114" s="63"/>
      <c r="C114" s="65"/>
    </row>
    <row r="115" spans="1:3" ht="15.75" customHeight="1">
      <c r="A115" s="63"/>
      <c r="B115" s="63"/>
      <c r="C115" s="65"/>
    </row>
    <row r="116" spans="1:3" ht="15.75" customHeight="1">
      <c r="A116" s="63"/>
      <c r="B116" s="63"/>
      <c r="C116" s="65"/>
    </row>
    <row r="117" spans="1:3" ht="15.75" customHeight="1">
      <c r="A117" s="63"/>
      <c r="B117" s="63"/>
      <c r="C117" s="65"/>
    </row>
    <row r="118" spans="1:3" ht="15.75" customHeight="1">
      <c r="A118" s="63"/>
      <c r="B118" s="63"/>
      <c r="C118" s="65"/>
    </row>
    <row r="119" spans="1:3" ht="15.75" customHeight="1">
      <c r="A119" s="63"/>
      <c r="B119" s="63"/>
      <c r="C119" s="65"/>
    </row>
    <row r="120" spans="1:3" ht="15.75" customHeight="1">
      <c r="A120" s="63"/>
      <c r="B120" s="63"/>
      <c r="C120" s="65"/>
    </row>
    <row r="121" spans="1:3" ht="15.75" customHeight="1">
      <c r="A121" s="63"/>
      <c r="B121" s="63"/>
      <c r="C121" s="65"/>
    </row>
    <row r="122" spans="1:3" ht="15.75" customHeight="1">
      <c r="A122" s="63"/>
      <c r="B122" s="63"/>
      <c r="C122" s="65"/>
    </row>
    <row r="123" spans="1:3" ht="15.75" customHeight="1">
      <c r="A123" s="63"/>
      <c r="B123" s="63"/>
      <c r="C123" s="65"/>
    </row>
    <row r="124" spans="1:3" ht="15.75" customHeight="1">
      <c r="A124" s="63"/>
      <c r="B124" s="63"/>
      <c r="C124" s="65"/>
    </row>
    <row r="125" spans="1:3" ht="15.75" customHeight="1">
      <c r="A125" s="63"/>
      <c r="B125" s="63"/>
      <c r="C125" s="65"/>
    </row>
    <row r="126" spans="1:3" ht="15.75" customHeight="1">
      <c r="A126" s="63"/>
      <c r="B126" s="63"/>
      <c r="C126" s="65"/>
    </row>
    <row r="127" spans="1:3" ht="15.75" customHeight="1">
      <c r="A127" s="63"/>
      <c r="B127" s="63"/>
      <c r="C127" s="65"/>
    </row>
    <row r="128" spans="1:3" ht="15.75" customHeight="1">
      <c r="A128" s="63"/>
      <c r="B128" s="63"/>
      <c r="C128" s="65"/>
    </row>
    <row r="129" spans="1:3" ht="15.75" customHeight="1">
      <c r="A129" s="63"/>
      <c r="B129" s="63"/>
      <c r="C129" s="65"/>
    </row>
    <row r="130" spans="1:3" ht="15.75" customHeight="1">
      <c r="A130" s="63"/>
      <c r="B130" s="63"/>
      <c r="C130" s="65"/>
    </row>
    <row r="131" spans="1:3" ht="15.75" customHeight="1">
      <c r="A131" s="63"/>
      <c r="B131" s="63"/>
      <c r="C131" s="65"/>
    </row>
    <row r="132" spans="1:3" ht="15.75" customHeight="1">
      <c r="A132" s="63"/>
      <c r="B132" s="63"/>
      <c r="C132" s="65"/>
    </row>
    <row r="133" spans="1:3" ht="15.75" customHeight="1">
      <c r="A133" s="63"/>
      <c r="B133" s="63"/>
      <c r="C133" s="65"/>
    </row>
    <row r="134" spans="1:3" ht="15.75" customHeight="1">
      <c r="A134" s="63"/>
      <c r="B134" s="63"/>
      <c r="C134" s="65"/>
    </row>
    <row r="135" spans="1:3" ht="15.75" customHeight="1">
      <c r="A135" s="63"/>
      <c r="B135" s="63"/>
      <c r="C135" s="65"/>
    </row>
    <row r="136" spans="1:3" ht="15.75" customHeight="1">
      <c r="A136" s="63"/>
      <c r="B136" s="63"/>
      <c r="C136" s="65"/>
    </row>
    <row r="137" spans="1:3" ht="15.75" customHeight="1">
      <c r="A137" s="63"/>
      <c r="B137" s="63"/>
      <c r="C137" s="65"/>
    </row>
    <row r="138" spans="1:3" ht="15.75" customHeight="1">
      <c r="A138" s="63"/>
      <c r="B138" s="63"/>
      <c r="C138" s="65"/>
    </row>
    <row r="139" spans="1:3" ht="15.75" customHeight="1">
      <c r="A139" s="63"/>
      <c r="B139" s="63"/>
      <c r="C139" s="65"/>
    </row>
    <row r="140" spans="1:3" ht="15.75" customHeight="1">
      <c r="A140" s="63"/>
      <c r="B140" s="63"/>
      <c r="C140" s="65"/>
    </row>
    <row r="141" spans="1:3" ht="15.75" customHeight="1">
      <c r="A141" s="63"/>
      <c r="B141" s="63"/>
      <c r="C141" s="65"/>
    </row>
    <row r="142" spans="1:3" ht="15.75" customHeight="1">
      <c r="A142" s="63"/>
      <c r="B142" s="63"/>
      <c r="C142" s="65"/>
    </row>
    <row r="143" spans="1:3" ht="15.75" customHeight="1">
      <c r="A143" s="63"/>
      <c r="B143" s="63"/>
      <c r="C143" s="65"/>
    </row>
    <row r="144" spans="1:3" ht="15.75" customHeight="1">
      <c r="A144" s="63"/>
      <c r="B144" s="63"/>
      <c r="C144" s="65"/>
    </row>
    <row r="145" spans="1:3" ht="15.75" customHeight="1">
      <c r="A145" s="63"/>
      <c r="B145" s="63"/>
      <c r="C145" s="65"/>
    </row>
    <row r="146" spans="1:3" ht="15.75" customHeight="1">
      <c r="A146" s="63"/>
      <c r="B146" s="63"/>
      <c r="C146" s="65"/>
    </row>
    <row r="147" spans="1:3" ht="15.75" customHeight="1">
      <c r="A147" s="63"/>
      <c r="B147" s="63"/>
      <c r="C147" s="65"/>
    </row>
    <row r="148" spans="1:3" ht="15.75" customHeight="1">
      <c r="A148" s="63"/>
      <c r="B148" s="63"/>
      <c r="C148" s="65"/>
    </row>
    <row r="149" spans="1:3" ht="15.75" customHeight="1">
      <c r="A149" s="63"/>
      <c r="B149" s="63"/>
      <c r="C149" s="65"/>
    </row>
    <row r="150" spans="1:3" ht="15.75" customHeight="1">
      <c r="A150" s="63"/>
      <c r="B150" s="63"/>
      <c r="C150" s="65"/>
    </row>
    <row r="151" spans="1:3" ht="15.75" customHeight="1">
      <c r="A151" s="63"/>
      <c r="B151" s="63"/>
      <c r="C151" s="65"/>
    </row>
    <row r="152" spans="1:3" ht="15.75" customHeight="1">
      <c r="A152" s="63"/>
      <c r="B152" s="63"/>
      <c r="C152" s="65"/>
    </row>
    <row r="153" spans="1:3" ht="15.75" customHeight="1">
      <c r="A153" s="63"/>
      <c r="B153" s="63"/>
      <c r="C153" s="65"/>
    </row>
    <row r="154" spans="1:3" ht="15.75" customHeight="1">
      <c r="A154" s="63"/>
      <c r="B154" s="63"/>
      <c r="C154" s="65"/>
    </row>
    <row r="155" spans="1:3" ht="15.75" customHeight="1">
      <c r="A155" s="63"/>
      <c r="B155" s="63"/>
      <c r="C155" s="65"/>
    </row>
    <row r="156" spans="1:3" ht="15.75" customHeight="1">
      <c r="A156" s="63"/>
      <c r="B156" s="63"/>
      <c r="C156" s="65"/>
    </row>
    <row r="157" spans="1:3" ht="15.75" customHeight="1">
      <c r="A157" s="63"/>
      <c r="B157" s="63"/>
      <c r="C157" s="65"/>
    </row>
    <row r="158" spans="1:3" ht="15.75" customHeight="1">
      <c r="A158" s="63"/>
      <c r="B158" s="63"/>
      <c r="C158" s="65"/>
    </row>
    <row r="159" spans="1:3" ht="15.75" customHeight="1">
      <c r="A159" s="63"/>
      <c r="B159" s="63"/>
      <c r="C159" s="65"/>
    </row>
    <row r="160" spans="1:3" ht="15.75" customHeight="1">
      <c r="A160" s="63"/>
      <c r="B160" s="63"/>
      <c r="C160" s="65"/>
    </row>
    <row r="161" spans="1:3" ht="15.75" customHeight="1">
      <c r="A161" s="63"/>
      <c r="B161" s="63"/>
      <c r="C161" s="65"/>
    </row>
    <row r="162" spans="1:3" ht="15.75" customHeight="1">
      <c r="A162" s="63"/>
      <c r="B162" s="63"/>
      <c r="C162" s="65"/>
    </row>
    <row r="163" spans="1:3" ht="15.75" customHeight="1">
      <c r="A163" s="63"/>
      <c r="B163" s="63"/>
      <c r="C163" s="65"/>
    </row>
    <row r="164" spans="1:3" ht="15.75" customHeight="1">
      <c r="A164" s="63"/>
      <c r="B164" s="63"/>
      <c r="C164" s="65"/>
    </row>
    <row r="165" spans="1:3" ht="15.75" customHeight="1">
      <c r="A165" s="63"/>
      <c r="B165" s="63"/>
      <c r="C165" s="65"/>
    </row>
    <row r="166" spans="1:3" ht="15.75" customHeight="1">
      <c r="A166" s="63"/>
      <c r="B166" s="63"/>
      <c r="C166" s="65"/>
    </row>
    <row r="167" spans="1:3" ht="15.75" customHeight="1">
      <c r="A167" s="63"/>
      <c r="B167" s="63"/>
      <c r="C167" s="65"/>
    </row>
    <row r="168" spans="1:3" ht="15.75" customHeight="1">
      <c r="A168" s="63"/>
      <c r="B168" s="63"/>
      <c r="C168" s="65"/>
    </row>
    <row r="169" spans="1:3" ht="15.75" customHeight="1">
      <c r="A169" s="63"/>
      <c r="B169" s="63"/>
      <c r="C169" s="65"/>
    </row>
    <row r="170" spans="1:3" ht="15.75" customHeight="1">
      <c r="A170" s="63"/>
      <c r="B170" s="63"/>
      <c r="C170" s="65"/>
    </row>
    <row r="171" spans="1:3" ht="15.75" customHeight="1">
      <c r="A171" s="63"/>
      <c r="B171" s="63"/>
      <c r="C171" s="65"/>
    </row>
    <row r="172" spans="1:3" ht="15.75" customHeight="1">
      <c r="A172" s="63"/>
      <c r="B172" s="63"/>
      <c r="C172" s="65"/>
    </row>
    <row r="173" spans="1:3" ht="15.75" customHeight="1">
      <c r="A173" s="63"/>
      <c r="B173" s="63"/>
      <c r="C173" s="65"/>
    </row>
    <row r="174" spans="1:3" ht="15.75" customHeight="1">
      <c r="A174" s="63"/>
      <c r="B174" s="63"/>
      <c r="C174" s="65"/>
    </row>
    <row r="175" spans="1:3" ht="15.75" customHeight="1">
      <c r="A175" s="63"/>
      <c r="B175" s="63"/>
      <c r="C175" s="65"/>
    </row>
    <row r="176" spans="1:3" ht="15.75" customHeight="1">
      <c r="A176" s="63"/>
      <c r="B176" s="63"/>
      <c r="C176" s="65"/>
    </row>
    <row r="177" spans="1:3" ht="15.75" customHeight="1">
      <c r="A177" s="63"/>
      <c r="B177" s="63"/>
      <c r="C177" s="65"/>
    </row>
    <row r="178" spans="1:3" ht="15.75" customHeight="1">
      <c r="A178" s="63"/>
      <c r="B178" s="63"/>
      <c r="C178" s="65"/>
    </row>
    <row r="179" spans="1:3" ht="15.75" customHeight="1">
      <c r="A179" s="63"/>
      <c r="B179" s="63"/>
      <c r="C179" s="65"/>
    </row>
    <row r="180" spans="1:3" ht="15.75" customHeight="1">
      <c r="A180" s="63"/>
      <c r="B180" s="63"/>
      <c r="C180" s="65"/>
    </row>
    <row r="181" spans="1:3" ht="15.75" customHeight="1">
      <c r="A181" s="63"/>
      <c r="B181" s="63"/>
      <c r="C181" s="65"/>
    </row>
    <row r="182" spans="1:3" ht="15.75" customHeight="1">
      <c r="A182" s="63"/>
      <c r="B182" s="63"/>
      <c r="C182" s="65"/>
    </row>
    <row r="183" spans="1:3" ht="15.75" customHeight="1">
      <c r="A183" s="63"/>
      <c r="B183" s="63"/>
      <c r="C183" s="65"/>
    </row>
    <row r="184" spans="1:3" ht="15.75" customHeight="1">
      <c r="A184" s="63"/>
      <c r="B184" s="63"/>
      <c r="C184" s="65"/>
    </row>
    <row r="185" spans="1:3" ht="15.75" customHeight="1">
      <c r="A185" s="63"/>
      <c r="B185" s="63"/>
      <c r="C185" s="65"/>
    </row>
    <row r="186" spans="1:3" ht="15.75" customHeight="1">
      <c r="A186" s="63"/>
      <c r="B186" s="63"/>
      <c r="C186" s="65"/>
    </row>
    <row r="187" spans="1:3" ht="15.75" customHeight="1">
      <c r="A187" s="63"/>
      <c r="B187" s="63"/>
      <c r="C187" s="65"/>
    </row>
    <row r="188" spans="1:3" ht="15.75" customHeight="1">
      <c r="A188" s="63"/>
      <c r="B188" s="63"/>
      <c r="C188" s="65"/>
    </row>
    <row r="189" spans="1:3" ht="15.75" customHeight="1">
      <c r="A189" s="63"/>
      <c r="B189" s="63"/>
      <c r="C189" s="65"/>
    </row>
    <row r="190" spans="1:3" ht="15.75" customHeight="1">
      <c r="A190" s="63"/>
      <c r="B190" s="63"/>
      <c r="C190" s="65"/>
    </row>
    <row r="191" spans="1:3" ht="15.75" customHeight="1">
      <c r="A191" s="63"/>
      <c r="B191" s="63"/>
      <c r="C191" s="65"/>
    </row>
    <row r="192" spans="1:3" ht="15.75" customHeight="1">
      <c r="A192" s="63"/>
      <c r="B192" s="63"/>
      <c r="C192" s="65"/>
    </row>
    <row r="193" spans="1:3" ht="15.75" customHeight="1">
      <c r="A193" s="63"/>
      <c r="B193" s="63"/>
      <c r="C193" s="65"/>
    </row>
    <row r="194" spans="1:3" ht="15.75" customHeight="1">
      <c r="A194" s="63"/>
      <c r="B194" s="63"/>
      <c r="C194" s="65"/>
    </row>
    <row r="195" spans="1:3" ht="15.75" customHeight="1">
      <c r="A195" s="63"/>
      <c r="B195" s="63"/>
      <c r="C195" s="65"/>
    </row>
    <row r="196" spans="1:3" ht="15.75" customHeight="1">
      <c r="A196" s="63"/>
      <c r="B196" s="63"/>
      <c r="C196" s="65"/>
    </row>
    <row r="197" spans="1:3" ht="15.75" customHeight="1">
      <c r="A197" s="63"/>
      <c r="B197" s="63"/>
      <c r="C197" s="65"/>
    </row>
    <row r="198" spans="1:3" ht="15.75" customHeight="1">
      <c r="A198" s="63"/>
      <c r="B198" s="63"/>
      <c r="C198" s="65"/>
    </row>
    <row r="199" spans="1:3" ht="15.75" customHeight="1">
      <c r="A199" s="63"/>
      <c r="B199" s="63"/>
      <c r="C199" s="65"/>
    </row>
    <row r="200" spans="1:3" ht="15.75" customHeight="1">
      <c r="A200" s="63"/>
      <c r="B200" s="63"/>
      <c r="C200" s="65"/>
    </row>
    <row r="201" spans="1:3" ht="15.75" customHeight="1">
      <c r="A201" s="63"/>
      <c r="B201" s="63"/>
      <c r="C201" s="65"/>
    </row>
    <row r="202" spans="1:3" ht="15.75" customHeight="1">
      <c r="A202" s="63"/>
      <c r="B202" s="63"/>
      <c r="C202" s="65"/>
    </row>
    <row r="203" spans="1:3" ht="15.75" customHeight="1">
      <c r="A203" s="63"/>
      <c r="B203" s="63"/>
      <c r="C203" s="65"/>
    </row>
    <row r="204" spans="1:3" ht="15.75" customHeight="1">
      <c r="A204" s="63"/>
      <c r="B204" s="63"/>
      <c r="C204" s="65"/>
    </row>
    <row r="205" spans="1:3" ht="15.75" customHeight="1">
      <c r="A205" s="63"/>
      <c r="B205" s="63"/>
      <c r="C205" s="65"/>
    </row>
    <row r="206" spans="1:3" ht="15.75" customHeight="1">
      <c r="A206" s="63"/>
      <c r="B206" s="63"/>
      <c r="C206" s="65"/>
    </row>
    <row r="207" spans="1:3" ht="15.75" customHeight="1">
      <c r="A207" s="63"/>
      <c r="B207" s="63"/>
      <c r="C207" s="65"/>
    </row>
    <row r="208" spans="1:3" ht="15.75" customHeight="1">
      <c r="A208" s="63"/>
      <c r="B208" s="63"/>
      <c r="C208" s="65"/>
    </row>
    <row r="209" spans="1:3" ht="15.75" customHeight="1">
      <c r="A209" s="63"/>
      <c r="B209" s="63"/>
      <c r="C209" s="65"/>
    </row>
    <row r="210" spans="1:3" ht="15.75" customHeight="1">
      <c r="A210" s="63"/>
      <c r="B210" s="63"/>
      <c r="C210" s="65"/>
    </row>
    <row r="211" spans="1:3" ht="15.75" customHeight="1">
      <c r="A211" s="63"/>
      <c r="B211" s="63"/>
      <c r="C211" s="65"/>
    </row>
    <row r="212" spans="1:3" ht="15.75" customHeight="1">
      <c r="A212" s="63"/>
      <c r="B212" s="63"/>
      <c r="C212" s="65"/>
    </row>
    <row r="213" spans="1:3" ht="15.75" customHeight="1">
      <c r="A213" s="63"/>
      <c r="B213" s="63"/>
      <c r="C213" s="65"/>
    </row>
    <row r="214" spans="1:3" ht="15.75" customHeight="1">
      <c r="A214" s="63"/>
      <c r="B214" s="63"/>
      <c r="C214" s="65"/>
    </row>
    <row r="215" spans="1:3" ht="15.75" customHeight="1">
      <c r="A215" s="63"/>
      <c r="B215" s="63"/>
      <c r="C215" s="65"/>
    </row>
    <row r="216" spans="1:3" ht="15.75" customHeight="1">
      <c r="A216" s="63"/>
      <c r="B216" s="63"/>
      <c r="C216" s="65"/>
    </row>
    <row r="217" spans="1:3" ht="15.75" customHeight="1">
      <c r="A217" s="63"/>
      <c r="B217" s="63"/>
      <c r="C217" s="65"/>
    </row>
    <row r="218" spans="1:3" ht="15.75" customHeight="1">
      <c r="A218" s="63"/>
      <c r="B218" s="63"/>
      <c r="C218" s="65"/>
    </row>
    <row r="219" spans="1:3" ht="15.75" customHeight="1">
      <c r="A219" s="63"/>
      <c r="B219" s="63"/>
      <c r="C219" s="65"/>
    </row>
    <row r="220" spans="1:3" ht="15.75" customHeight="1">
      <c r="A220" s="63"/>
      <c r="B220" s="63"/>
      <c r="C220" s="65"/>
    </row>
    <row r="221" spans="1:3" ht="15.75" customHeight="1">
      <c r="A221" s="63"/>
      <c r="B221" s="63"/>
      <c r="C221" s="65"/>
    </row>
    <row r="222" spans="1:3" ht="15.75" customHeight="1">
      <c r="A222" s="63"/>
      <c r="B222" s="63"/>
      <c r="C222" s="65"/>
    </row>
    <row r="223" spans="1:3" ht="15.75" customHeight="1">
      <c r="A223" s="63"/>
      <c r="B223" s="63"/>
      <c r="C223" s="65"/>
    </row>
    <row r="224" spans="1:3" ht="15.75" customHeight="1">
      <c r="A224" s="63"/>
      <c r="B224" s="63"/>
      <c r="C224" s="65"/>
    </row>
    <row r="225" spans="1:3" ht="15.75" customHeight="1">
      <c r="A225" s="63"/>
      <c r="B225" s="63"/>
      <c r="C225" s="65"/>
    </row>
    <row r="226" spans="1:3" ht="15.75" customHeight="1">
      <c r="A226" s="63"/>
      <c r="B226" s="63"/>
      <c r="C226" s="65"/>
    </row>
    <row r="227" spans="1:3" ht="15.75" customHeight="1">
      <c r="A227" s="63"/>
      <c r="B227" s="63"/>
      <c r="C227" s="65"/>
    </row>
    <row r="228" spans="1:3" ht="15.75" customHeight="1">
      <c r="A228" s="63"/>
      <c r="B228" s="63"/>
      <c r="C228" s="65"/>
    </row>
    <row r="229" spans="1:3" ht="15.75" customHeight="1">
      <c r="A229" s="63"/>
      <c r="B229" s="63"/>
      <c r="C229" s="65"/>
    </row>
    <row r="230" spans="1:3" ht="15.75" customHeight="1">
      <c r="A230" s="63"/>
      <c r="B230" s="63"/>
      <c r="C230" s="65"/>
    </row>
    <row r="231" spans="1:3" ht="15.75" customHeight="1">
      <c r="A231" s="63"/>
      <c r="B231" s="63"/>
      <c r="C231" s="65"/>
    </row>
    <row r="232" spans="1:3" ht="15.75" customHeight="1">
      <c r="A232" s="63"/>
      <c r="B232" s="63"/>
      <c r="C232" s="65"/>
    </row>
    <row r="233" spans="1:3" ht="15.75" customHeight="1">
      <c r="A233" s="63"/>
      <c r="B233" s="63"/>
      <c r="C233" s="65"/>
    </row>
    <row r="234" spans="1:3" ht="15.75" customHeight="1">
      <c r="A234" s="63"/>
      <c r="B234" s="63"/>
      <c r="C234" s="65"/>
    </row>
    <row r="235" spans="1:3" ht="15.75" customHeight="1">
      <c r="A235" s="63"/>
      <c r="B235" s="63"/>
      <c r="C235" s="65"/>
    </row>
    <row r="236" spans="1:3" ht="15.75" customHeight="1">
      <c r="A236" s="63"/>
      <c r="B236" s="63"/>
      <c r="C236" s="65"/>
    </row>
    <row r="237" spans="1:3" ht="15.75" customHeight="1">
      <c r="A237" s="63"/>
      <c r="B237" s="63"/>
      <c r="C237" s="65"/>
    </row>
    <row r="238" spans="1:3" ht="15.75" customHeight="1">
      <c r="A238" s="63"/>
      <c r="B238" s="63"/>
      <c r="C238" s="65"/>
    </row>
    <row r="239" spans="1:3" ht="15.75" customHeight="1">
      <c r="A239" s="63"/>
      <c r="B239" s="63"/>
      <c r="C239" s="65"/>
    </row>
    <row r="240" spans="1:3" ht="15.75" customHeight="1">
      <c r="A240" s="63"/>
      <c r="B240" s="63"/>
      <c r="C240" s="65"/>
    </row>
    <row r="241" spans="1:3" ht="15.75" customHeight="1">
      <c r="A241" s="63"/>
      <c r="B241" s="63"/>
      <c r="C241" s="65"/>
    </row>
    <row r="242" spans="1:3" ht="15.75" customHeight="1">
      <c r="A242" s="63"/>
      <c r="B242" s="63"/>
      <c r="C242" s="65"/>
    </row>
    <row r="243" spans="1:3" ht="15.75" customHeight="1">
      <c r="A243" s="63"/>
      <c r="B243" s="63"/>
      <c r="C243" s="65"/>
    </row>
    <row r="244" spans="1:3" ht="15.75" customHeight="1">
      <c r="A244" s="63"/>
      <c r="B244" s="63"/>
      <c r="C244" s="65"/>
    </row>
    <row r="245" spans="1:3" ht="15.75" customHeight="1">
      <c r="A245" s="63"/>
      <c r="B245" s="63"/>
      <c r="C245" s="65"/>
    </row>
    <row r="246" spans="1:3" ht="15.75" customHeight="1">
      <c r="A246" s="63"/>
      <c r="B246" s="63"/>
      <c r="C246" s="65"/>
    </row>
    <row r="247" spans="1:3" ht="15.75" customHeight="1">
      <c r="A247" s="63"/>
      <c r="B247" s="63"/>
      <c r="C247" s="65"/>
    </row>
    <row r="248" spans="1:3" ht="15.75" customHeight="1">
      <c r="A248" s="63"/>
      <c r="B248" s="63"/>
      <c r="C248" s="65"/>
    </row>
    <row r="249" spans="1:3" ht="15.75" customHeight="1">
      <c r="A249" s="63"/>
      <c r="B249" s="63"/>
      <c r="C249" s="65"/>
    </row>
    <row r="250" spans="1:3" ht="15.75" customHeight="1">
      <c r="A250" s="63"/>
      <c r="B250" s="63"/>
      <c r="C250" s="65"/>
    </row>
    <row r="251" spans="1:3" ht="15.75" customHeight="1">
      <c r="A251" s="63"/>
      <c r="B251" s="63"/>
      <c r="C251" s="65"/>
    </row>
    <row r="252" spans="1:3" ht="15.75" customHeight="1">
      <c r="A252" s="63"/>
      <c r="B252" s="63"/>
      <c r="C252" s="65"/>
    </row>
    <row r="253" spans="1:3" ht="15.75" customHeight="1">
      <c r="A253" s="63"/>
      <c r="B253" s="63"/>
      <c r="C253" s="65"/>
    </row>
    <row r="254" spans="1:3" ht="15.75" customHeight="1">
      <c r="A254" s="63"/>
      <c r="B254" s="63"/>
      <c r="C254" s="65"/>
    </row>
    <row r="255" spans="1:3" ht="15.75" customHeight="1">
      <c r="A255" s="63"/>
      <c r="B255" s="63"/>
      <c r="C255" s="65"/>
    </row>
    <row r="256" spans="1:3" ht="15.75" customHeight="1">
      <c r="A256" s="63"/>
      <c r="B256" s="63"/>
      <c r="C256" s="65"/>
    </row>
    <row r="257" spans="1:3" ht="15.75" customHeight="1">
      <c r="A257" s="63"/>
      <c r="B257" s="63"/>
      <c r="C257" s="65"/>
    </row>
    <row r="258" spans="1:3" ht="15.75" customHeight="1">
      <c r="A258" s="63"/>
      <c r="B258" s="63"/>
      <c r="C258" s="65"/>
    </row>
    <row r="259" spans="1:3" ht="15.75" customHeight="1">
      <c r="A259" s="63"/>
      <c r="B259" s="63"/>
      <c r="C259" s="65"/>
    </row>
    <row r="260" spans="1:3" ht="15.75" customHeight="1">
      <c r="A260" s="63"/>
      <c r="B260" s="63"/>
      <c r="C260" s="65"/>
    </row>
    <row r="261" spans="1:3" ht="15.75" customHeight="1">
      <c r="A261" s="63"/>
      <c r="B261" s="63"/>
      <c r="C261" s="65"/>
    </row>
    <row r="262" spans="1:3" ht="15.75" customHeight="1">
      <c r="A262" s="63"/>
      <c r="B262" s="63"/>
      <c r="C262" s="65"/>
    </row>
    <row r="263" spans="1:3" ht="15.75" customHeight="1">
      <c r="A263" s="63"/>
      <c r="B263" s="63"/>
      <c r="C263" s="65"/>
    </row>
    <row r="264" spans="1:3" ht="15.75" customHeight="1">
      <c r="A264" s="63"/>
      <c r="B264" s="63"/>
      <c r="C264" s="65"/>
    </row>
    <row r="265" spans="1:3" ht="15.75" customHeight="1">
      <c r="A265" s="63"/>
      <c r="B265" s="63"/>
      <c r="C265" s="65"/>
    </row>
    <row r="266" spans="1:3" ht="15.75" customHeight="1">
      <c r="A266" s="63"/>
      <c r="B266" s="63"/>
      <c r="C266" s="65"/>
    </row>
    <row r="267" spans="1:3" ht="15.75" customHeight="1">
      <c r="A267" s="63"/>
      <c r="B267" s="63"/>
      <c r="C267" s="65"/>
    </row>
    <row r="268" spans="1:3" ht="15.75" customHeight="1">
      <c r="A268" s="63"/>
      <c r="B268" s="63"/>
      <c r="C268" s="65"/>
    </row>
    <row r="269" spans="1:3" ht="15.75" customHeight="1">
      <c r="A269" s="63"/>
      <c r="B269" s="63"/>
      <c r="C269" s="65"/>
    </row>
    <row r="270" spans="1:3" ht="15.75" customHeight="1">
      <c r="A270" s="63"/>
      <c r="B270" s="63"/>
      <c r="C270" s="65"/>
    </row>
    <row r="271" spans="1:3" ht="15.75" customHeight="1">
      <c r="A271" s="63"/>
      <c r="B271" s="63"/>
      <c r="C271" s="65"/>
    </row>
    <row r="272" spans="1:3" ht="15.75" customHeight="1">
      <c r="A272" s="63"/>
      <c r="B272" s="63"/>
      <c r="C272" s="65"/>
    </row>
    <row r="273" spans="1:3" ht="15.75" customHeight="1">
      <c r="A273" s="63"/>
      <c r="B273" s="63"/>
      <c r="C273" s="65"/>
    </row>
    <row r="274" spans="1:3" ht="15.75" customHeight="1">
      <c r="A274" s="63"/>
      <c r="B274" s="63"/>
      <c r="C274" s="65"/>
    </row>
    <row r="275" spans="1:3" ht="15.75" customHeight="1">
      <c r="A275" s="63"/>
      <c r="B275" s="63"/>
      <c r="C275" s="65"/>
    </row>
    <row r="276" spans="1:3" ht="15.75" customHeight="1">
      <c r="A276" s="63"/>
      <c r="B276" s="63"/>
      <c r="C276" s="65"/>
    </row>
    <row r="277" spans="1:3" ht="15.75" customHeight="1">
      <c r="A277" s="63"/>
      <c r="B277" s="63"/>
      <c r="C277" s="65"/>
    </row>
    <row r="278" spans="1:3" ht="15.75" customHeight="1">
      <c r="A278" s="63"/>
      <c r="B278" s="63"/>
      <c r="C278" s="65"/>
    </row>
    <row r="279" spans="1:3" ht="15.75" customHeight="1">
      <c r="A279" s="63"/>
      <c r="B279" s="63"/>
      <c r="C279" s="65"/>
    </row>
    <row r="280" spans="1:3" ht="15.75" customHeight="1">
      <c r="A280" s="63"/>
      <c r="B280" s="63"/>
      <c r="C280" s="65"/>
    </row>
    <row r="281" spans="1:3" ht="15.75" customHeight="1">
      <c r="A281" s="63"/>
      <c r="B281" s="63"/>
      <c r="C281" s="65"/>
    </row>
    <row r="282" spans="1:3" ht="15.75" customHeight="1">
      <c r="A282" s="63"/>
      <c r="B282" s="63"/>
      <c r="C282" s="65"/>
    </row>
    <row r="283" spans="1:3" ht="15.75" customHeight="1">
      <c r="A283" s="63"/>
      <c r="B283" s="63"/>
      <c r="C283" s="65"/>
    </row>
    <row r="284" spans="1:3" ht="15.75" customHeight="1">
      <c r="A284" s="63"/>
      <c r="B284" s="63"/>
      <c r="C284" s="65"/>
    </row>
    <row r="285" spans="1:3" ht="15.75" customHeight="1">
      <c r="A285" s="63"/>
      <c r="B285" s="63"/>
      <c r="C285" s="65"/>
    </row>
    <row r="286" spans="1:3" ht="15.75" customHeight="1">
      <c r="A286" s="63"/>
      <c r="B286" s="63"/>
      <c r="C286" s="65"/>
    </row>
    <row r="287" spans="1:3" ht="15.75" customHeight="1"/>
    <row r="288" spans="1:3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showGridLines="0" workbookViewId="0"/>
  </sheetViews>
  <sheetFormatPr defaultColWidth="14.42578125" defaultRowHeight="15" customHeight="1"/>
  <cols>
    <col min="1" max="1" width="3" customWidth="1"/>
    <col min="2" max="2" width="76" customWidth="1"/>
    <col min="3" max="6" width="8.7109375" customWidth="1"/>
  </cols>
  <sheetData>
    <row r="1" spans="1:3" ht="31.5" customHeight="1">
      <c r="A1" s="33"/>
      <c r="B1" s="34" t="s">
        <v>16</v>
      </c>
      <c r="C1" s="35"/>
    </row>
    <row r="2" spans="1:3" ht="15.6">
      <c r="A2" s="33"/>
      <c r="B2" s="36"/>
      <c r="C2" s="35"/>
    </row>
    <row r="3" spans="1:3" ht="14.45">
      <c r="A3" s="33"/>
      <c r="B3" s="37" t="s">
        <v>166</v>
      </c>
      <c r="C3" s="35"/>
    </row>
    <row r="4" spans="1:3" ht="13.5">
      <c r="A4" s="33"/>
      <c r="B4" s="38" t="s">
        <v>167</v>
      </c>
      <c r="C4" s="35"/>
    </row>
    <row r="5" spans="1:3" ht="15.6">
      <c r="A5" s="33"/>
      <c r="B5" s="39"/>
      <c r="C5" s="35"/>
    </row>
    <row r="6" spans="1:3" ht="15.6">
      <c r="A6" s="33"/>
      <c r="B6" s="40" t="s">
        <v>168</v>
      </c>
      <c r="C6" s="35"/>
    </row>
    <row r="7" spans="1:3" ht="15.6">
      <c r="A7" s="33"/>
      <c r="B7" s="39"/>
      <c r="C7" s="35"/>
    </row>
    <row r="8" spans="1:3" ht="46.5">
      <c r="A8" s="33"/>
      <c r="B8" s="39" t="s">
        <v>169</v>
      </c>
      <c r="C8" s="35"/>
    </row>
    <row r="9" spans="1:3" ht="15.6">
      <c r="A9" s="33"/>
      <c r="B9" s="39"/>
      <c r="C9" s="35"/>
    </row>
    <row r="10" spans="1:3" ht="30.95">
      <c r="A10" s="33"/>
      <c r="B10" s="39" t="s">
        <v>170</v>
      </c>
      <c r="C10" s="35"/>
    </row>
    <row r="11" spans="1:3" ht="15.6">
      <c r="A11" s="33"/>
      <c r="B11" s="39"/>
      <c r="C11" s="35"/>
    </row>
    <row r="12" spans="1:3" ht="30.95">
      <c r="A12" s="33"/>
      <c r="B12" s="39" t="s">
        <v>171</v>
      </c>
      <c r="C12" s="35"/>
    </row>
    <row r="13" spans="1:3" ht="15.6">
      <c r="A13" s="33"/>
      <c r="B13" s="39"/>
      <c r="C13" s="35"/>
    </row>
    <row r="14" spans="1:3" ht="15.6">
      <c r="A14" s="33"/>
      <c r="B14" s="41" t="s">
        <v>172</v>
      </c>
      <c r="C14" s="35"/>
    </row>
    <row r="15" spans="1:3" ht="15.6">
      <c r="A15" s="33"/>
      <c r="B15" s="39" t="s">
        <v>173</v>
      </c>
      <c r="C15" s="35"/>
    </row>
    <row r="16" spans="1:3" ht="15.6">
      <c r="A16" s="33"/>
      <c r="B16" s="42"/>
      <c r="C16" s="35"/>
    </row>
    <row r="17" spans="1:3" ht="30.95">
      <c r="A17" s="33"/>
      <c r="B17" s="39" t="s">
        <v>174</v>
      </c>
      <c r="C17" s="35"/>
    </row>
    <row r="18" spans="1:3" ht="13.5">
      <c r="A18" s="33"/>
      <c r="B18" s="33"/>
      <c r="C18" s="35"/>
    </row>
    <row r="19" spans="1:3" ht="13.5">
      <c r="A19" s="33"/>
      <c r="B19" s="43">
        <v>1</v>
      </c>
      <c r="C19" s="35"/>
    </row>
    <row r="20" spans="1:3" ht="13.5">
      <c r="A20" s="33"/>
      <c r="B20" s="33"/>
      <c r="C20" s="35"/>
    </row>
    <row r="21" spans="1:3" ht="15.75" customHeight="1">
      <c r="A21" s="33"/>
      <c r="B21" s="33"/>
      <c r="C21" s="35"/>
    </row>
    <row r="22" spans="1:3" ht="15.75" customHeight="1">
      <c r="A22" s="33"/>
      <c r="B22" s="33"/>
      <c r="C22" s="35"/>
    </row>
    <row r="23" spans="1:3" ht="15.75" customHeight="1">
      <c r="A23" s="33"/>
      <c r="B23" s="33"/>
      <c r="C23" s="35"/>
    </row>
    <row r="24" spans="1:3" ht="15.75" customHeight="1">
      <c r="A24" s="33"/>
      <c r="B24" s="33"/>
      <c r="C24" s="35"/>
    </row>
    <row r="25" spans="1:3" ht="15.75" customHeight="1">
      <c r="A25" s="33"/>
      <c r="B25" s="33"/>
      <c r="C25" s="35"/>
    </row>
    <row r="26" spans="1:3" ht="15.75" customHeight="1">
      <c r="A26" s="33"/>
      <c r="B26" s="33"/>
      <c r="C26" s="35"/>
    </row>
    <row r="27" spans="1:3" ht="15.75" customHeight="1">
      <c r="A27" s="33"/>
      <c r="B27" s="33"/>
      <c r="C27" s="35"/>
    </row>
    <row r="28" spans="1:3" ht="15.75" customHeight="1">
      <c r="A28" s="33"/>
      <c r="B28" s="33"/>
      <c r="C28" s="35"/>
    </row>
    <row r="29" spans="1:3" ht="15.75" customHeight="1">
      <c r="A29" s="33"/>
      <c r="B29" s="33"/>
      <c r="C29" s="35"/>
    </row>
    <row r="30" spans="1:3" ht="15.75" customHeight="1">
      <c r="A30" s="44"/>
      <c r="B30" s="44"/>
    </row>
    <row r="31" spans="1:3" ht="15.75" customHeight="1">
      <c r="A31" s="44"/>
      <c r="B31" s="44"/>
    </row>
    <row r="32" spans="1:3" ht="15.75" customHeight="1">
      <c r="A32" s="44"/>
      <c r="B32" s="44"/>
    </row>
    <row r="33" spans="1:2" ht="15.75" customHeight="1">
      <c r="A33" s="44"/>
      <c r="B33" s="44"/>
    </row>
    <row r="34" spans="1:2" ht="15.75" customHeight="1">
      <c r="A34" s="44"/>
      <c r="B34" s="44"/>
    </row>
    <row r="35" spans="1:2" ht="15.75" customHeight="1">
      <c r="A35" s="44"/>
      <c r="B35" s="44"/>
    </row>
    <row r="36" spans="1:2" ht="15.75" customHeight="1">
      <c r="A36" s="44"/>
      <c r="B36" s="44"/>
    </row>
    <row r="37" spans="1:2" ht="15.75" customHeight="1">
      <c r="A37" s="44"/>
      <c r="B37" s="44"/>
    </row>
    <row r="38" spans="1:2" ht="15.75" customHeight="1">
      <c r="A38" s="44"/>
      <c r="B38" s="44"/>
    </row>
    <row r="39" spans="1:2" ht="15.75" customHeight="1">
      <c r="A39" s="44"/>
      <c r="B39" s="44"/>
    </row>
    <row r="40" spans="1:2" ht="15.75" customHeight="1">
      <c r="A40" s="44"/>
      <c r="B40" s="44"/>
    </row>
    <row r="41" spans="1:2" ht="15.75" customHeight="1">
      <c r="A41" s="44"/>
      <c r="B41" s="44"/>
    </row>
    <row r="42" spans="1:2" ht="15.75" customHeight="1">
      <c r="A42" s="44"/>
      <c r="B42" s="44"/>
    </row>
    <row r="43" spans="1:2" ht="15.75" customHeight="1">
      <c r="A43" s="44"/>
      <c r="B43" s="44"/>
    </row>
    <row r="44" spans="1:2" ht="15.75" customHeight="1">
      <c r="A44" s="44"/>
      <c r="B44" s="44"/>
    </row>
    <row r="45" spans="1:2" ht="15.75" customHeight="1">
      <c r="A45" s="44"/>
      <c r="B45" s="44"/>
    </row>
    <row r="46" spans="1:2" ht="15.75" customHeight="1">
      <c r="A46" s="44"/>
      <c r="B46" s="44"/>
    </row>
    <row r="47" spans="1:2" ht="15.75" customHeight="1">
      <c r="A47" s="44"/>
      <c r="B47" s="44"/>
    </row>
    <row r="48" spans="1:2" ht="15.75" customHeight="1">
      <c r="A48" s="44"/>
      <c r="B48" s="44"/>
    </row>
    <row r="49" spans="1:2" ht="15.75" customHeight="1">
      <c r="A49" s="44"/>
      <c r="B49" s="44"/>
    </row>
    <row r="50" spans="1:2" ht="15.75" customHeight="1">
      <c r="A50" s="44"/>
      <c r="B50" s="44"/>
    </row>
    <row r="51" spans="1:2" ht="15.75" customHeight="1">
      <c r="A51" s="44"/>
      <c r="B51" s="44"/>
    </row>
    <row r="52" spans="1:2" ht="15.75" customHeight="1">
      <c r="A52" s="44"/>
      <c r="B52" s="44"/>
    </row>
    <row r="53" spans="1:2" ht="15.75" customHeight="1">
      <c r="A53" s="44"/>
      <c r="B53" s="44"/>
    </row>
    <row r="54" spans="1:2" ht="15.75" customHeight="1">
      <c r="A54" s="44"/>
      <c r="B54" s="44"/>
    </row>
    <row r="55" spans="1:2" ht="15.75" customHeight="1">
      <c r="A55" s="44"/>
      <c r="B55" s="44"/>
    </row>
    <row r="56" spans="1:2" ht="15.75" customHeight="1">
      <c r="A56" s="44"/>
      <c r="B56" s="44"/>
    </row>
    <row r="57" spans="1:2" ht="15.75" customHeight="1">
      <c r="A57" s="44"/>
      <c r="B57" s="44"/>
    </row>
    <row r="58" spans="1:2" ht="15.75" customHeight="1">
      <c r="A58" s="44"/>
      <c r="B58" s="44"/>
    </row>
    <row r="59" spans="1:2" ht="15.75" customHeight="1">
      <c r="A59" s="44"/>
      <c r="B59" s="44"/>
    </row>
    <row r="60" spans="1:2" ht="15.75" customHeight="1">
      <c r="A60" s="44"/>
      <c r="B60" s="44"/>
    </row>
    <row r="61" spans="1:2" ht="15.75" customHeight="1">
      <c r="A61" s="44"/>
      <c r="B61" s="44"/>
    </row>
    <row r="62" spans="1:2" ht="15.75" customHeight="1">
      <c r="A62" s="44"/>
      <c r="B62" s="44"/>
    </row>
    <row r="63" spans="1:2" ht="15.75" customHeight="1">
      <c r="A63" s="44"/>
      <c r="B63" s="44"/>
    </row>
    <row r="64" spans="1:2" ht="15.75" customHeight="1">
      <c r="A64" s="44"/>
      <c r="B64" s="44"/>
    </row>
    <row r="65" spans="1:2" ht="15.75" customHeight="1">
      <c r="A65" s="44"/>
      <c r="B65" s="44"/>
    </row>
    <row r="66" spans="1:2" ht="15.75" customHeight="1">
      <c r="A66" s="44"/>
      <c r="B66" s="44"/>
    </row>
    <row r="67" spans="1:2" ht="15.75" customHeight="1">
      <c r="A67" s="44"/>
      <c r="B67" s="44"/>
    </row>
    <row r="68" spans="1:2" ht="15.75" customHeight="1">
      <c r="A68" s="44"/>
      <c r="B68" s="44"/>
    </row>
    <row r="69" spans="1:2" ht="15.75" customHeight="1">
      <c r="A69" s="44"/>
      <c r="B69" s="44"/>
    </row>
    <row r="70" spans="1:2" ht="15.75" customHeight="1">
      <c r="A70" s="44"/>
      <c r="B70" s="44"/>
    </row>
    <row r="71" spans="1:2" ht="15.75" customHeight="1">
      <c r="A71" s="44"/>
      <c r="B71" s="44"/>
    </row>
    <row r="72" spans="1:2" ht="15.75" customHeight="1">
      <c r="A72" s="44"/>
      <c r="B72" s="44"/>
    </row>
    <row r="73" spans="1:2" ht="15.75" customHeight="1">
      <c r="A73" s="44"/>
      <c r="B73" s="44"/>
    </row>
    <row r="74" spans="1:2" ht="15.75" customHeight="1">
      <c r="A74" s="44"/>
      <c r="B74" s="44"/>
    </row>
    <row r="75" spans="1:2" ht="15.75" customHeight="1">
      <c r="A75" s="44"/>
      <c r="B75" s="44"/>
    </row>
    <row r="76" spans="1:2" ht="15.75" customHeight="1">
      <c r="A76" s="44"/>
      <c r="B76" s="44"/>
    </row>
    <row r="77" spans="1:2" ht="15.75" customHeight="1">
      <c r="A77" s="44"/>
      <c r="B77" s="44"/>
    </row>
    <row r="78" spans="1:2" ht="15.75" customHeight="1">
      <c r="A78" s="44"/>
      <c r="B78" s="44"/>
    </row>
    <row r="79" spans="1:2" ht="15.75" customHeight="1">
      <c r="A79" s="44"/>
      <c r="B79" s="44"/>
    </row>
    <row r="80" spans="1:2" ht="15.75" customHeight="1">
      <c r="A80" s="44"/>
      <c r="B80" s="44"/>
    </row>
    <row r="81" spans="1:2" ht="15.75" customHeight="1">
      <c r="A81" s="44"/>
      <c r="B81" s="44"/>
    </row>
    <row r="82" spans="1:2" ht="15.75" customHeight="1">
      <c r="A82" s="44"/>
      <c r="B82" s="44"/>
    </row>
    <row r="83" spans="1:2" ht="15.75" customHeight="1">
      <c r="A83" s="44"/>
      <c r="B83" s="44"/>
    </row>
    <row r="84" spans="1:2" ht="15.75" customHeight="1">
      <c r="A84" s="44"/>
      <c r="B84" s="44"/>
    </row>
    <row r="85" spans="1:2" ht="15.75" customHeight="1">
      <c r="A85" s="44"/>
      <c r="B85" s="44"/>
    </row>
    <row r="86" spans="1:2" ht="15.75" customHeight="1">
      <c r="A86" s="44"/>
      <c r="B86" s="44"/>
    </row>
    <row r="87" spans="1:2" ht="15.75" customHeight="1">
      <c r="A87" s="44"/>
      <c r="B87" s="44"/>
    </row>
    <row r="88" spans="1:2" ht="15.75" customHeight="1">
      <c r="A88" s="44"/>
      <c r="B88" s="44"/>
    </row>
    <row r="89" spans="1:2" ht="15.75" customHeight="1">
      <c r="A89" s="44"/>
      <c r="B89" s="44"/>
    </row>
    <row r="90" spans="1:2" ht="15.75" customHeight="1">
      <c r="A90" s="44"/>
      <c r="B90" s="44"/>
    </row>
    <row r="91" spans="1:2" ht="15.75" customHeight="1">
      <c r="A91" s="44"/>
      <c r="B91" s="44"/>
    </row>
    <row r="92" spans="1:2" ht="15.75" customHeight="1">
      <c r="A92" s="44"/>
      <c r="B92" s="44"/>
    </row>
    <row r="93" spans="1:2" ht="15.75" customHeight="1">
      <c r="A93" s="44"/>
      <c r="B93" s="44"/>
    </row>
    <row r="94" spans="1:2" ht="15.75" customHeight="1">
      <c r="A94" s="44"/>
      <c r="B94" s="44"/>
    </row>
    <row r="95" spans="1:2" ht="15.75" customHeight="1">
      <c r="A95" s="44"/>
      <c r="B95" s="44"/>
    </row>
    <row r="96" spans="1:2" ht="15.75" customHeight="1">
      <c r="A96" s="44"/>
      <c r="B96" s="44"/>
    </row>
    <row r="97" spans="1:2" ht="15.75" customHeight="1">
      <c r="A97" s="44"/>
      <c r="B97" s="44"/>
    </row>
    <row r="98" spans="1:2" ht="15.75" customHeight="1">
      <c r="A98" s="44"/>
      <c r="B98" s="44"/>
    </row>
    <row r="99" spans="1:2" ht="15.75" customHeight="1">
      <c r="A99" s="44"/>
      <c r="B99" s="44"/>
    </row>
    <row r="100" spans="1:2" ht="15.75" customHeight="1">
      <c r="A100" s="44"/>
      <c r="B100" s="44"/>
    </row>
    <row r="101" spans="1:2" ht="15.75" customHeight="1">
      <c r="A101" s="44"/>
      <c r="B101" s="44"/>
    </row>
    <row r="102" spans="1:2" ht="15.75" customHeight="1">
      <c r="A102" s="44"/>
      <c r="B102" s="44"/>
    </row>
    <row r="103" spans="1:2" ht="15.75" customHeight="1">
      <c r="A103" s="44"/>
      <c r="B103" s="44"/>
    </row>
    <row r="104" spans="1:2" ht="15.75" customHeight="1">
      <c r="A104" s="44"/>
      <c r="B104" s="44"/>
    </row>
    <row r="105" spans="1:2" ht="15.75" customHeight="1">
      <c r="A105" s="44"/>
      <c r="B105" s="44"/>
    </row>
    <row r="106" spans="1:2" ht="15.75" customHeight="1">
      <c r="A106" s="44"/>
      <c r="B106" s="44"/>
    </row>
    <row r="107" spans="1:2" ht="15.75" customHeight="1">
      <c r="A107" s="44"/>
      <c r="B107" s="44"/>
    </row>
    <row r="108" spans="1:2" ht="15.75" customHeight="1">
      <c r="A108" s="44"/>
      <c r="B108" s="44"/>
    </row>
    <row r="109" spans="1:2" ht="15.75" customHeight="1">
      <c r="A109" s="44"/>
      <c r="B109" s="44"/>
    </row>
    <row r="110" spans="1:2" ht="15.75" customHeight="1">
      <c r="A110" s="44"/>
      <c r="B110" s="44"/>
    </row>
    <row r="111" spans="1:2" ht="15.75" customHeight="1">
      <c r="A111" s="44"/>
      <c r="B111" s="44"/>
    </row>
    <row r="112" spans="1:2" ht="15.75" customHeight="1">
      <c r="A112" s="44"/>
      <c r="B112" s="44"/>
    </row>
    <row r="113" spans="1:2" ht="15.75" customHeight="1">
      <c r="A113" s="44"/>
      <c r="B113" s="44"/>
    </row>
    <row r="114" spans="1:2" ht="15.75" customHeight="1">
      <c r="A114" s="44"/>
      <c r="B114" s="44"/>
    </row>
    <row r="115" spans="1:2" ht="15.75" customHeight="1">
      <c r="A115" s="44"/>
      <c r="B115" s="44"/>
    </row>
    <row r="116" spans="1:2" ht="15.75" customHeight="1">
      <c r="A116" s="44"/>
      <c r="B116" s="44"/>
    </row>
    <row r="117" spans="1:2" ht="15.75" customHeight="1">
      <c r="A117" s="44"/>
      <c r="B117" s="44"/>
    </row>
    <row r="118" spans="1:2" ht="15.75" customHeight="1">
      <c r="A118" s="44"/>
      <c r="B118" s="44"/>
    </row>
    <row r="119" spans="1:2" ht="15.75" customHeight="1">
      <c r="A119" s="44"/>
      <c r="B119" s="44"/>
    </row>
    <row r="120" spans="1:2" ht="15.75" customHeight="1">
      <c r="A120" s="44"/>
      <c r="B120" s="44"/>
    </row>
    <row r="121" spans="1:2" ht="15.75" customHeight="1">
      <c r="A121" s="44"/>
      <c r="B121" s="44"/>
    </row>
    <row r="122" spans="1:2" ht="15.75" customHeight="1">
      <c r="A122" s="44"/>
      <c r="B122" s="44"/>
    </row>
    <row r="123" spans="1:2" ht="15.75" customHeight="1">
      <c r="A123" s="44"/>
      <c r="B123" s="44"/>
    </row>
    <row r="124" spans="1:2" ht="15.75" customHeight="1">
      <c r="A124" s="44"/>
      <c r="B124" s="44"/>
    </row>
    <row r="125" spans="1:2" ht="15.75" customHeight="1">
      <c r="A125" s="44"/>
      <c r="B125" s="44"/>
    </row>
    <row r="126" spans="1:2" ht="15.75" customHeight="1">
      <c r="A126" s="44"/>
      <c r="B126" s="44"/>
    </row>
    <row r="127" spans="1:2" ht="15.75" customHeight="1">
      <c r="A127" s="44"/>
      <c r="B127" s="44"/>
    </row>
    <row r="128" spans="1:2" ht="15.75" customHeight="1">
      <c r="A128" s="44"/>
      <c r="B128" s="44"/>
    </row>
    <row r="129" spans="1:2" ht="15.75" customHeight="1">
      <c r="A129" s="44"/>
      <c r="B129" s="44"/>
    </row>
    <row r="130" spans="1:2" ht="15.75" customHeight="1">
      <c r="A130" s="44"/>
      <c r="B130" s="44"/>
    </row>
    <row r="131" spans="1:2" ht="15.75" customHeight="1">
      <c r="A131" s="44"/>
      <c r="B131" s="44"/>
    </row>
    <row r="132" spans="1:2" ht="15.75" customHeight="1">
      <c r="A132" s="44"/>
      <c r="B132" s="44"/>
    </row>
    <row r="133" spans="1:2" ht="15.75" customHeight="1">
      <c r="A133" s="44"/>
      <c r="B133" s="44"/>
    </row>
    <row r="134" spans="1:2" ht="15.75" customHeight="1">
      <c r="A134" s="44"/>
      <c r="B134" s="44"/>
    </row>
    <row r="135" spans="1:2" ht="15.75" customHeight="1">
      <c r="A135" s="44"/>
      <c r="B135" s="44"/>
    </row>
    <row r="136" spans="1:2" ht="15.75" customHeight="1">
      <c r="A136" s="44"/>
      <c r="B136" s="44"/>
    </row>
    <row r="137" spans="1:2" ht="15.75" customHeight="1">
      <c r="A137" s="44"/>
      <c r="B137" s="44"/>
    </row>
    <row r="138" spans="1:2" ht="15.75" customHeight="1">
      <c r="A138" s="44"/>
      <c r="B138" s="44"/>
    </row>
    <row r="139" spans="1:2" ht="15.75" customHeight="1">
      <c r="A139" s="44"/>
      <c r="B139" s="44"/>
    </row>
    <row r="140" spans="1:2" ht="15.75" customHeight="1">
      <c r="A140" s="44"/>
      <c r="B140" s="44"/>
    </row>
    <row r="141" spans="1:2" ht="15.75" customHeight="1">
      <c r="A141" s="44"/>
      <c r="B141" s="44"/>
    </row>
    <row r="142" spans="1:2" ht="15.75" customHeight="1">
      <c r="A142" s="44"/>
      <c r="B142" s="44"/>
    </row>
    <row r="143" spans="1:2" ht="15.75" customHeight="1">
      <c r="A143" s="44"/>
      <c r="B143" s="44"/>
    </row>
    <row r="144" spans="1:2" ht="15.75" customHeight="1">
      <c r="A144" s="44"/>
      <c r="B144" s="44"/>
    </row>
    <row r="145" spans="1:2" ht="15.75" customHeight="1">
      <c r="A145" s="44"/>
      <c r="B145" s="44"/>
    </row>
    <row r="146" spans="1:2" ht="15.75" customHeight="1">
      <c r="A146" s="44"/>
      <c r="B146" s="44"/>
    </row>
    <row r="147" spans="1:2" ht="15.75" customHeight="1">
      <c r="A147" s="44"/>
      <c r="B147" s="44"/>
    </row>
    <row r="148" spans="1:2" ht="15.75" customHeight="1">
      <c r="A148" s="44"/>
      <c r="B148" s="44"/>
    </row>
    <row r="149" spans="1:2" ht="15.75" customHeight="1">
      <c r="A149" s="44"/>
      <c r="B149" s="44"/>
    </row>
    <row r="150" spans="1:2" ht="15.75" customHeight="1">
      <c r="A150" s="44"/>
      <c r="B150" s="44"/>
    </row>
    <row r="151" spans="1:2" ht="15.75" customHeight="1">
      <c r="A151" s="44"/>
      <c r="B151" s="44"/>
    </row>
    <row r="152" spans="1:2" ht="15.75" customHeight="1">
      <c r="A152" s="44"/>
      <c r="B152" s="44"/>
    </row>
    <row r="153" spans="1:2" ht="15.75" customHeight="1">
      <c r="A153" s="44"/>
      <c r="B153" s="44"/>
    </row>
    <row r="154" spans="1:2" ht="15.75" customHeight="1">
      <c r="A154" s="44"/>
      <c r="B154" s="44"/>
    </row>
    <row r="155" spans="1:2" ht="15.75" customHeight="1">
      <c r="A155" s="44"/>
      <c r="B155" s="44"/>
    </row>
    <row r="156" spans="1:2" ht="15.75" customHeight="1">
      <c r="A156" s="44"/>
      <c r="B156" s="44"/>
    </row>
    <row r="157" spans="1:2" ht="15.75" customHeight="1">
      <c r="A157" s="44"/>
      <c r="B157" s="44"/>
    </row>
    <row r="158" spans="1:2" ht="15.75" customHeight="1">
      <c r="A158" s="44"/>
      <c r="B158" s="44"/>
    </row>
    <row r="159" spans="1:2" ht="15.75" customHeight="1">
      <c r="A159" s="44"/>
      <c r="B159" s="44"/>
    </row>
    <row r="160" spans="1:2" ht="15.75" customHeight="1">
      <c r="A160" s="44"/>
      <c r="B160" s="44"/>
    </row>
    <row r="161" spans="1:2" ht="15.75" customHeight="1">
      <c r="A161" s="44"/>
      <c r="B161" s="44"/>
    </row>
    <row r="162" spans="1:2" ht="15.75" customHeight="1">
      <c r="A162" s="44"/>
      <c r="B162" s="44"/>
    </row>
    <row r="163" spans="1:2" ht="15.75" customHeight="1">
      <c r="A163" s="44"/>
      <c r="B163" s="44"/>
    </row>
    <row r="164" spans="1:2" ht="15.75" customHeight="1">
      <c r="A164" s="44"/>
      <c r="B164" s="44"/>
    </row>
    <row r="165" spans="1:2" ht="15.75" customHeight="1">
      <c r="A165" s="44"/>
      <c r="B165" s="44"/>
    </row>
    <row r="166" spans="1:2" ht="15.75" customHeight="1">
      <c r="A166" s="44"/>
      <c r="B166" s="44"/>
    </row>
    <row r="167" spans="1:2" ht="15.75" customHeight="1">
      <c r="A167" s="44"/>
      <c r="B167" s="44"/>
    </row>
    <row r="168" spans="1:2" ht="15.75" customHeight="1">
      <c r="A168" s="44"/>
      <c r="B168" s="44"/>
    </row>
    <row r="169" spans="1:2" ht="15.75" customHeight="1">
      <c r="A169" s="44"/>
      <c r="B169" s="44"/>
    </row>
    <row r="170" spans="1:2" ht="15.75" customHeight="1">
      <c r="A170" s="44"/>
      <c r="B170" s="44"/>
    </row>
    <row r="171" spans="1:2" ht="15.75" customHeight="1">
      <c r="A171" s="44"/>
      <c r="B171" s="44"/>
    </row>
    <row r="172" spans="1:2" ht="15.75" customHeight="1">
      <c r="A172" s="44"/>
      <c r="B172" s="44"/>
    </row>
    <row r="173" spans="1:2" ht="15.75" customHeight="1">
      <c r="A173" s="44"/>
      <c r="B173" s="44"/>
    </row>
    <row r="174" spans="1:2" ht="15.75" customHeight="1">
      <c r="A174" s="44"/>
      <c r="B174" s="44"/>
    </row>
    <row r="175" spans="1:2" ht="15.75" customHeight="1">
      <c r="A175" s="44"/>
      <c r="B175" s="44"/>
    </row>
    <row r="176" spans="1:2" ht="15.75" customHeight="1">
      <c r="A176" s="44"/>
      <c r="B176" s="44"/>
    </row>
    <row r="177" spans="1:2" ht="15.75" customHeight="1">
      <c r="A177" s="44"/>
      <c r="B177" s="44"/>
    </row>
    <row r="178" spans="1:2" ht="15.75" customHeight="1">
      <c r="A178" s="44"/>
      <c r="B178" s="44"/>
    </row>
    <row r="179" spans="1:2" ht="15.75" customHeight="1">
      <c r="A179" s="44"/>
      <c r="B179" s="44"/>
    </row>
    <row r="180" spans="1:2" ht="15.75" customHeight="1">
      <c r="A180" s="44"/>
      <c r="B180" s="44"/>
    </row>
    <row r="181" spans="1:2" ht="15.75" customHeight="1">
      <c r="A181" s="44"/>
      <c r="B181" s="44"/>
    </row>
    <row r="182" spans="1:2" ht="15.75" customHeight="1">
      <c r="A182" s="44"/>
      <c r="B182" s="44"/>
    </row>
    <row r="183" spans="1:2" ht="15.75" customHeight="1">
      <c r="A183" s="44"/>
      <c r="B183" s="44"/>
    </row>
    <row r="184" spans="1:2" ht="15.75" customHeight="1">
      <c r="A184" s="44"/>
      <c r="B184" s="44"/>
    </row>
    <row r="185" spans="1:2" ht="15.75" customHeight="1">
      <c r="A185" s="44"/>
      <c r="B185" s="44"/>
    </row>
    <row r="186" spans="1:2" ht="15.75" customHeight="1">
      <c r="A186" s="44"/>
      <c r="B186" s="44"/>
    </row>
    <row r="187" spans="1:2" ht="15.75" customHeight="1">
      <c r="A187" s="44"/>
      <c r="B187" s="44"/>
    </row>
    <row r="188" spans="1:2" ht="15.75" customHeight="1">
      <c r="A188" s="44"/>
      <c r="B188" s="44"/>
    </row>
    <row r="189" spans="1:2" ht="15.75" customHeight="1">
      <c r="A189" s="44"/>
      <c r="B189" s="44"/>
    </row>
    <row r="190" spans="1:2" ht="15.75" customHeight="1">
      <c r="A190" s="44"/>
      <c r="B190" s="44"/>
    </row>
    <row r="191" spans="1:2" ht="15.75" customHeight="1">
      <c r="A191" s="44"/>
      <c r="B191" s="44"/>
    </row>
    <row r="192" spans="1:2" ht="15.75" customHeight="1">
      <c r="A192" s="44"/>
      <c r="B192" s="44"/>
    </row>
    <row r="193" spans="1:2" ht="15.75" customHeight="1">
      <c r="A193" s="44"/>
      <c r="B193" s="44"/>
    </row>
    <row r="194" spans="1:2" ht="15.75" customHeight="1">
      <c r="A194" s="44"/>
      <c r="B194" s="44"/>
    </row>
    <row r="195" spans="1:2" ht="15.75" customHeight="1">
      <c r="A195" s="44"/>
      <c r="B195" s="44"/>
    </row>
    <row r="196" spans="1:2" ht="15.75" customHeight="1">
      <c r="A196" s="44"/>
      <c r="B196" s="44"/>
    </row>
    <row r="197" spans="1:2" ht="15.75" customHeight="1">
      <c r="A197" s="44"/>
      <c r="B197" s="44"/>
    </row>
    <row r="198" spans="1:2" ht="15.75" customHeight="1">
      <c r="A198" s="44"/>
      <c r="B198" s="44"/>
    </row>
    <row r="199" spans="1:2" ht="15.75" customHeight="1">
      <c r="A199" s="44"/>
      <c r="B199" s="44"/>
    </row>
    <row r="200" spans="1:2" ht="15.75" customHeight="1">
      <c r="A200" s="44"/>
      <c r="B200" s="44"/>
    </row>
    <row r="201" spans="1:2" ht="15.75" customHeight="1">
      <c r="A201" s="44"/>
      <c r="B201" s="44"/>
    </row>
    <row r="202" spans="1:2" ht="15.75" customHeight="1">
      <c r="A202" s="44"/>
      <c r="B202" s="44"/>
    </row>
    <row r="203" spans="1:2" ht="15.75" customHeight="1">
      <c r="A203" s="44"/>
      <c r="B203" s="44"/>
    </row>
    <row r="204" spans="1:2" ht="15.75" customHeight="1">
      <c r="A204" s="44"/>
      <c r="B204" s="44"/>
    </row>
    <row r="205" spans="1:2" ht="15.75" customHeight="1">
      <c r="A205" s="44"/>
      <c r="B205" s="44"/>
    </row>
    <row r="206" spans="1:2" ht="15.75" customHeight="1">
      <c r="A206" s="44"/>
      <c r="B206" s="44"/>
    </row>
    <row r="207" spans="1:2" ht="15.75" customHeight="1">
      <c r="A207" s="44"/>
      <c r="B207" s="44"/>
    </row>
    <row r="208" spans="1:2" ht="15.75" customHeight="1">
      <c r="A208" s="44"/>
      <c r="B208" s="44"/>
    </row>
    <row r="209" spans="1:2" ht="15.75" customHeight="1">
      <c r="A209" s="44"/>
      <c r="B209" s="44"/>
    </row>
    <row r="210" spans="1:2" ht="15.75" customHeight="1">
      <c r="A210" s="44"/>
      <c r="B210" s="44"/>
    </row>
    <row r="211" spans="1:2" ht="15.75" customHeight="1">
      <c r="A211" s="44"/>
      <c r="B211" s="44"/>
    </row>
    <row r="212" spans="1:2" ht="15.75" customHeight="1">
      <c r="A212" s="44"/>
      <c r="B212" s="44"/>
    </row>
    <row r="213" spans="1:2" ht="15.75" customHeight="1">
      <c r="A213" s="44"/>
      <c r="B213" s="44"/>
    </row>
    <row r="214" spans="1:2" ht="15.75" customHeight="1">
      <c r="A214" s="44"/>
      <c r="B214" s="44"/>
    </row>
    <row r="215" spans="1:2" ht="15.75" customHeight="1">
      <c r="A215" s="44"/>
      <c r="B215" s="44"/>
    </row>
    <row r="216" spans="1:2" ht="15.75" customHeight="1">
      <c r="A216" s="44"/>
      <c r="B216" s="44"/>
    </row>
    <row r="217" spans="1:2" ht="15.75" customHeight="1">
      <c r="A217" s="44"/>
      <c r="B217" s="44"/>
    </row>
    <row r="218" spans="1:2" ht="15.75" customHeight="1">
      <c r="A218" s="44"/>
      <c r="B218" s="44"/>
    </row>
    <row r="219" spans="1:2" ht="15.75" customHeight="1">
      <c r="A219" s="44"/>
      <c r="B219" s="44"/>
    </row>
    <row r="220" spans="1:2" ht="15.75" customHeight="1">
      <c r="A220" s="44"/>
      <c r="B220" s="44"/>
    </row>
    <row r="221" spans="1:2" ht="15.75" customHeight="1"/>
    <row r="222" spans="1:2" ht="15.75" customHeight="1"/>
    <row r="223" spans="1:2" ht="15.75" customHeight="1"/>
    <row r="224" spans="1: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4" r:id="rId1" xr:uid="{00000000-0004-0000-0600-000000000000}"/>
    <hyperlink ref="B14" r:id="rId2" xr:uid="{00000000-0004-0000-0600-000001000000}"/>
  </hyperlinks>
  <pageMargins left="0.7" right="0.7" top="0.75" bottom="0.75" header="0" footer="0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Lê Phú Duy</cp:lastModifiedBy>
  <cp:revision/>
  <dcterms:created xsi:type="dcterms:W3CDTF">2025-12-26T07:49:18Z</dcterms:created>
  <dcterms:modified xsi:type="dcterms:W3CDTF">2025-12-29T01:56:21Z</dcterms:modified>
  <cp:category/>
  <cp:contentStatus/>
</cp:coreProperties>
</file>